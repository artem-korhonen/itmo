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<sst xmlns="http://schemas.openxmlformats.org/spreadsheetml/2006/main" count="350" uniqueCount="70">
  <si>
    <t xml:space="preserve">A =</t>
  </si>
  <si>
    <t xml:space="preserve">C =</t>
  </si>
  <si>
    <t xml:space="preserve">X1 =</t>
  </si>
  <si>
    <t xml:space="preserve">B1 =</t>
  </si>
  <si>
    <t xml:space="preserve">.</t>
  </si>
  <si>
    <t xml:space="preserve">X2 =</t>
  </si>
  <si>
    <t xml:space="preserve">B2 =</t>
  </si>
  <si>
    <t xml:space="preserve">X3 =</t>
  </si>
  <si>
    <t xml:space="preserve">A + C =</t>
  </si>
  <si>
    <t xml:space="preserve">B3 =</t>
  </si>
  <si>
    <t xml:space="preserve">X4 =</t>
  </si>
  <si>
    <t xml:space="preserve">A + C + C =</t>
  </si>
  <si>
    <t xml:space="preserve">B4 =</t>
  </si>
  <si>
    <t xml:space="preserve">X5 =</t>
  </si>
  <si>
    <t xml:space="preserve">C - A =</t>
  </si>
  <si>
    <t xml:space="preserve">B5 =</t>
  </si>
  <si>
    <t xml:space="preserve">X6 =</t>
  </si>
  <si>
    <t xml:space="preserve">65536 - X4 =</t>
  </si>
  <si>
    <t xml:space="preserve">B6 =</t>
  </si>
  <si>
    <t xml:space="preserve">X7 =</t>
  </si>
  <si>
    <t xml:space="preserve">-X1 =</t>
  </si>
  <si>
    <t xml:space="preserve">B7 =</t>
  </si>
  <si>
    <t xml:space="preserve">-B1 =</t>
  </si>
  <si>
    <t xml:space="preserve">X8 =</t>
  </si>
  <si>
    <t xml:space="preserve">-X2 =</t>
  </si>
  <si>
    <t xml:space="preserve">B8 =</t>
  </si>
  <si>
    <t xml:space="preserve">-B2 =</t>
  </si>
  <si>
    <t xml:space="preserve">X9 =</t>
  </si>
  <si>
    <t xml:space="preserve">-X3 =</t>
  </si>
  <si>
    <t xml:space="preserve">B9 =</t>
  </si>
  <si>
    <t xml:space="preserve">-B3 =</t>
  </si>
  <si>
    <t xml:space="preserve">X10 =</t>
  </si>
  <si>
    <t xml:space="preserve">-X4 =</t>
  </si>
  <si>
    <t xml:space="preserve">B10 =</t>
  </si>
  <si>
    <t xml:space="preserve">-B4 =</t>
  </si>
  <si>
    <t xml:space="preserve">X11 =</t>
  </si>
  <si>
    <t xml:space="preserve">-X5 =</t>
  </si>
  <si>
    <t xml:space="preserve">B11 =</t>
  </si>
  <si>
    <t xml:space="preserve">-B5 =</t>
  </si>
  <si>
    <t xml:space="preserve">X12 =</t>
  </si>
  <si>
    <t xml:space="preserve">-X6 =</t>
  </si>
  <si>
    <t xml:space="preserve">B12 =</t>
  </si>
  <si>
    <t xml:space="preserve">-B6 =</t>
  </si>
  <si>
    <t xml:space="preserve">B1</t>
  </si>
  <si>
    <t xml:space="preserve">X1</t>
  </si>
  <si>
    <t xml:space="preserve">Результат корректный</t>
  </si>
  <si>
    <t xml:space="preserve">+</t>
  </si>
  <si>
    <t xml:space="preserve">B2</t>
  </si>
  <si>
    <t xml:space="preserve">X2</t>
  </si>
  <si>
    <t xml:space="preserve">---</t>
  </si>
  <si>
    <t xml:space="preserve">=</t>
  </si>
  <si>
    <t xml:space="preserve">Результат корректный.
Перенос из старшего разряда не учитывается</t>
  </si>
  <si>
    <t xml:space="preserve">CF =</t>
  </si>
  <si>
    <t xml:space="preserve">PF =</t>
  </si>
  <si>
    <t xml:space="preserve">AF =</t>
  </si>
  <si>
    <t xml:space="preserve">ZF =</t>
  </si>
  <si>
    <t xml:space="preserve">SF =</t>
  </si>
  <si>
    <t xml:space="preserve">OF =</t>
  </si>
  <si>
    <t xml:space="preserve">B3</t>
  </si>
  <si>
    <t xml:space="preserve">X3</t>
  </si>
  <si>
    <t xml:space="preserve">При сложении положительных чисел
получен отрицательный результат -
ПЕРЕПОЛНЕНИЕ</t>
  </si>
  <si>
    <t xml:space="preserve">При сложении отрицательных чисел
получен положительный результат -
ПЕРЕПОЛНЕНИЕ</t>
  </si>
  <si>
    <t xml:space="preserve">B7</t>
  </si>
  <si>
    <t xml:space="preserve">X7</t>
  </si>
  <si>
    <t xml:space="preserve">B8</t>
  </si>
  <si>
    <t xml:space="preserve">X8</t>
  </si>
  <si>
    <t xml:space="preserve">B9</t>
  </si>
  <si>
    <t xml:space="preserve">X9</t>
  </si>
  <si>
    <t xml:space="preserve">B11</t>
  </si>
  <si>
    <t xml:space="preserve">X11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</si>
</sst>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4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5EB91E"/>
        <bgColor rgb="FF339966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center" vertical="center" textRotation="0" wrapText="false" indent="0" shrinkToFit="false"/>
    </xf>
    <xf numFmtId="164" fontId="0" fillId="3" borderId="0" applyFont="true" applyBorder="true" applyAlignment="true" applyProtection="false">
      <alignment horizontal="center" vertical="center" textRotation="0" wrapText="false" indent="0" shrinkToFit="false"/>
    </xf>
    <xf numFmtId="164" fontId="0" fillId="0" borderId="0" applyFont="true" applyBorder="false" applyAlignment="true" applyProtection="false">
      <alignment horizontal="center" vertical="center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3" borderId="0" xfId="21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При 0" xfId="20"/>
    <cellStyle name="При 1" xfId="21"/>
    <cellStyle name="При точке" xfId="22"/>
  </cellStyles>
  <dxfs count="3">
    <dxf>
      <font>
        <name val="Calibri"/>
        <charset val="1"/>
        <family val="2"/>
        <b val="0"/>
        <i val="0"/>
        <strike val="0"/>
        <outline val="0"/>
        <shadow val="0"/>
        <color rgb="FF000000"/>
        <sz val="11"/>
        <u val="none"/>
      </font>
      <numFmt numFmtId="164" formatCode="General"/>
      <fill>
        <patternFill>
          <bgColor rgb="FF5EB91E"/>
        </patternFill>
      </fill>
      <alignment horizontal="center" vertical="center" textRotation="0" wrapText="false" indent="0" shrinkToFit="false"/>
      <border diagonalUp="false" diagonalDown="false">
        <left/>
        <right/>
        <top/>
        <bottom/>
        <diagonal/>
      </border>
    </dxf>
    <dxf>
      <font>
        <name val="Calibri"/>
        <charset val="1"/>
        <family val="2"/>
        <b val="0"/>
        <i val="0"/>
        <strike val="0"/>
        <outline val="0"/>
        <shadow val="0"/>
        <color rgb="FF000000"/>
        <sz val="11"/>
        <u val="none"/>
      </font>
      <numFmt numFmtId="164" formatCode="General"/>
      <fill>
        <patternFill>
          <bgColor rgb="FF729FCF"/>
        </patternFill>
      </fill>
      <alignment horizontal="center" vertical="center" textRotation="0" wrapText="false" indent="0" shrinkToFit="false"/>
    </dxf>
    <dxf>
      <font>
        <name val="Calibri"/>
        <charset val="1"/>
        <family val="2"/>
        <b val="0"/>
        <i val="0"/>
        <strike val="0"/>
        <outline val="0"/>
        <shadow val="0"/>
        <color rgb="FF000000"/>
        <sz val="11"/>
        <u val="none"/>
      </font>
      <numFmt numFmtId="164" formatCode="General"/>
      <fill>
        <patternFill/>
      </fill>
      <alignment horizontal="center" vertical="center" textRotation="0" wrapText="false" indent="0" shrinkToFit="false"/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5EB91E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70"/>
  <sheetViews>
    <sheetView showFormulas="false" showGridLines="true" showRowColHeaders="true" showZeros="true" rightToLeft="false" tabSelected="true" showOutlineSymbols="true" defaultGridColor="true" view="normal" topLeftCell="A25" colorId="64" zoomScale="110" zoomScaleNormal="110" zoomScalePageLayoutView="100" workbookViewId="0">
      <selection pane="topLeft" activeCell="K5" activeCellId="0" sqref="K5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6.16"/>
    <col collapsed="false" customWidth="true" hidden="false" outlineLevel="0" max="2" min="2" style="1" width="12.33"/>
    <col collapsed="false" customWidth="false" hidden="false" outlineLevel="0" max="4" min="3" style="1" width="8.54"/>
    <col collapsed="false" customWidth="true" hidden="false" outlineLevel="0" max="6" min="5" style="1" width="5.61"/>
    <col collapsed="false" customWidth="true" hidden="false" outlineLevel="0" max="25" min="7" style="1" width="3"/>
    <col collapsed="false" customWidth="true" hidden="false" outlineLevel="0" max="26" min="26" style="1" width="3.34"/>
    <col collapsed="false" customWidth="true" hidden="false" outlineLevel="0" max="27" min="27" style="1" width="8.34"/>
    <col collapsed="false" customWidth="true" hidden="false" outlineLevel="0" max="30" min="28" style="1" width="4.33"/>
    <col collapsed="false" customWidth="true" hidden="false" outlineLevel="0" max="31" min="31" style="1" width="7.48"/>
    <col collapsed="false" customWidth="false" hidden="false" outlineLevel="0" max="48" min="32" style="1" width="8.54"/>
    <col collapsed="false" customWidth="false" hidden="false" outlineLevel="0" max="51" min="49" style="2" width="8.54"/>
  </cols>
  <sheetData>
    <row r="1" customFormat="false" ht="13.8" hidden="false" customHeight="false" outlineLevel="0" collapsed="false">
      <c r="B1" s="1" t="s">
        <v>0</v>
      </c>
      <c r="C1" s="3" t="n">
        <v>1587</v>
      </c>
    </row>
    <row r="2" customFormat="false" ht="13.8" hidden="false" customHeight="false" outlineLevel="0" collapsed="false">
      <c r="B2" s="1" t="s">
        <v>1</v>
      </c>
      <c r="C2" s="3" t="n">
        <v>23366</v>
      </c>
    </row>
    <row r="4" customFormat="false" ht="13.8" hidden="false" customHeight="false" outlineLevel="0" collapsed="false">
      <c r="A4" s="1" t="s">
        <v>2</v>
      </c>
      <c r="B4" s="1" t="s">
        <v>0</v>
      </c>
      <c r="C4" s="1" t="n">
        <f aca="false">C1</f>
        <v>1587</v>
      </c>
      <c r="E4" s="1" t="s">
        <v>3</v>
      </c>
      <c r="G4" s="4" t="n">
        <f aca="false">MOD(QUOTIENT($C4,2^15),2)</f>
        <v>0</v>
      </c>
      <c r="H4" s="4" t="n">
        <f aca="false">MOD(QUOTIENT($C4,2^14),2)</f>
        <v>0</v>
      </c>
      <c r="I4" s="4" t="n">
        <f aca="false">MOD(QUOTIENT($C4,2^13),2)</f>
        <v>0</v>
      </c>
      <c r="J4" s="4" t="n">
        <f aca="false">MOD(QUOTIENT($C4,2^12),2)</f>
        <v>0</v>
      </c>
      <c r="K4" s="4" t="s">
        <v>4</v>
      </c>
      <c r="L4" s="4" t="n">
        <f aca="false">MOD(QUOTIENT($C4,2^11),2)</f>
        <v>0</v>
      </c>
      <c r="M4" s="4" t="n">
        <f aca="false">MOD(QUOTIENT($C4,2^10),2)</f>
        <v>1</v>
      </c>
      <c r="N4" s="4" t="n">
        <f aca="false">MOD(QUOTIENT($C4,2^9),2)</f>
        <v>1</v>
      </c>
      <c r="O4" s="4" t="n">
        <f aca="false">MOD(QUOTIENT($C4,2^8),2)</f>
        <v>0</v>
      </c>
      <c r="P4" s="4" t="s">
        <v>4</v>
      </c>
      <c r="Q4" s="4" t="n">
        <f aca="false">MOD(QUOTIENT($C4,2^7),2)</f>
        <v>0</v>
      </c>
      <c r="R4" s="4" t="n">
        <f aca="false">MOD(QUOTIENT($C4,2^6),2)</f>
        <v>0</v>
      </c>
      <c r="S4" s="4" t="n">
        <f aca="false">MOD(QUOTIENT($C4,2^5),2)</f>
        <v>1</v>
      </c>
      <c r="T4" s="4" t="n">
        <f aca="false">MOD(QUOTIENT($C4,2^4),2)</f>
        <v>1</v>
      </c>
      <c r="U4" s="4" t="s">
        <v>4</v>
      </c>
      <c r="V4" s="4" t="n">
        <f aca="false">MOD(QUOTIENT($C4,2^3),2)</f>
        <v>0</v>
      </c>
      <c r="W4" s="4" t="n">
        <f aca="false">MOD(QUOTIENT($C4,2^2),2)</f>
        <v>0</v>
      </c>
      <c r="X4" s="4" t="n">
        <f aca="false">MOD(QUOTIENT($C4,2^1),2)</f>
        <v>1</v>
      </c>
      <c r="Y4" s="4" t="n">
        <f aca="false">MOD(QUOTIENT($C4,2^0),2)</f>
        <v>1</v>
      </c>
    </row>
    <row r="5" customFormat="false" ht="13.8" hidden="false" customHeight="false" outlineLevel="0" collapsed="false">
      <c r="A5" s="1" t="s">
        <v>5</v>
      </c>
      <c r="B5" s="1" t="s">
        <v>1</v>
      </c>
      <c r="C5" s="1" t="n">
        <f aca="false">C2</f>
        <v>23366</v>
      </c>
      <c r="E5" s="1" t="s">
        <v>6</v>
      </c>
      <c r="G5" s="4" t="n">
        <f aca="false">MOD(QUOTIENT($C5,2^15),2)</f>
        <v>0</v>
      </c>
      <c r="H5" s="4" t="n">
        <f aca="false">MOD(QUOTIENT($C5,2^14),2)</f>
        <v>1</v>
      </c>
      <c r="I5" s="4" t="n">
        <f aca="false">MOD(QUOTIENT($C5,2^13),2)</f>
        <v>0</v>
      </c>
      <c r="J5" s="4" t="n">
        <f aca="false">MOD(QUOTIENT($C5,2^12),2)</f>
        <v>1</v>
      </c>
      <c r="K5" s="4" t="s">
        <v>4</v>
      </c>
      <c r="L5" s="4" t="n">
        <f aca="false">MOD(QUOTIENT($C5,2^11),2)</f>
        <v>1</v>
      </c>
      <c r="M5" s="4" t="n">
        <f aca="false">MOD(QUOTIENT($C5,2^10),2)</f>
        <v>0</v>
      </c>
      <c r="N5" s="4" t="n">
        <f aca="false">MOD(QUOTIENT($C5,2^9),2)</f>
        <v>1</v>
      </c>
      <c r="O5" s="4" t="n">
        <f aca="false">MOD(QUOTIENT($C5,2^8),2)</f>
        <v>1</v>
      </c>
      <c r="P5" s="4" t="s">
        <v>4</v>
      </c>
      <c r="Q5" s="4" t="n">
        <f aca="false">MOD(QUOTIENT($C5,2^7),2)</f>
        <v>0</v>
      </c>
      <c r="R5" s="4" t="n">
        <f aca="false">MOD(QUOTIENT($C5,2^6),2)</f>
        <v>1</v>
      </c>
      <c r="S5" s="4" t="n">
        <f aca="false">MOD(QUOTIENT($C5,2^5),2)</f>
        <v>0</v>
      </c>
      <c r="T5" s="4" t="n">
        <f aca="false">MOD(QUOTIENT($C5,2^4),2)</f>
        <v>0</v>
      </c>
      <c r="U5" s="4" t="s">
        <v>4</v>
      </c>
      <c r="V5" s="4" t="n">
        <f aca="false">MOD(QUOTIENT($C5,2^3),2)</f>
        <v>0</v>
      </c>
      <c r="W5" s="4" t="n">
        <f aca="false">MOD(QUOTIENT($C5,2^2),2)</f>
        <v>1</v>
      </c>
      <c r="X5" s="4" t="n">
        <f aca="false">MOD(QUOTIENT($C5,2^1),2)</f>
        <v>1</v>
      </c>
      <c r="Y5" s="4" t="n">
        <f aca="false">MOD(QUOTIENT($C5,2^0),2)</f>
        <v>0</v>
      </c>
    </row>
    <row r="6" customFormat="false" ht="13.8" hidden="false" customHeight="false" outlineLevel="0" collapsed="false">
      <c r="A6" s="1" t="s">
        <v>7</v>
      </c>
      <c r="B6" s="1" t="s">
        <v>8</v>
      </c>
      <c r="C6" s="1" t="n">
        <f aca="false">C1+C2</f>
        <v>24953</v>
      </c>
      <c r="E6" s="1" t="s">
        <v>9</v>
      </c>
      <c r="G6" s="4" t="n">
        <f aca="false">MOD(QUOTIENT($C6,2^15),2)</f>
        <v>0</v>
      </c>
      <c r="H6" s="4" t="n">
        <f aca="false">MOD(QUOTIENT($C6,2^14),2)</f>
        <v>1</v>
      </c>
      <c r="I6" s="4" t="n">
        <f aca="false">MOD(QUOTIENT($C6,2^13),2)</f>
        <v>1</v>
      </c>
      <c r="J6" s="4" t="n">
        <f aca="false">MOD(QUOTIENT($C6,2^12),2)</f>
        <v>0</v>
      </c>
      <c r="K6" s="4" t="s">
        <v>4</v>
      </c>
      <c r="L6" s="4" t="n">
        <f aca="false">MOD(QUOTIENT($C6,2^11),2)</f>
        <v>0</v>
      </c>
      <c r="M6" s="4" t="n">
        <f aca="false">MOD(QUOTIENT($C6,2^10),2)</f>
        <v>0</v>
      </c>
      <c r="N6" s="4" t="n">
        <f aca="false">MOD(QUOTIENT($C6,2^9),2)</f>
        <v>0</v>
      </c>
      <c r="O6" s="4" t="n">
        <f aca="false">MOD(QUOTIENT($C6,2^8),2)</f>
        <v>1</v>
      </c>
      <c r="P6" s="4" t="s">
        <v>4</v>
      </c>
      <c r="Q6" s="4" t="n">
        <f aca="false">MOD(QUOTIENT($C6,2^7),2)</f>
        <v>0</v>
      </c>
      <c r="R6" s="4" t="n">
        <f aca="false">MOD(QUOTIENT($C6,2^6),2)</f>
        <v>1</v>
      </c>
      <c r="S6" s="4" t="n">
        <f aca="false">MOD(QUOTIENT($C6,2^5),2)</f>
        <v>1</v>
      </c>
      <c r="T6" s="4" t="n">
        <f aca="false">MOD(QUOTIENT($C6,2^4),2)</f>
        <v>1</v>
      </c>
      <c r="U6" s="4" t="s">
        <v>4</v>
      </c>
      <c r="V6" s="4" t="n">
        <f aca="false">MOD(QUOTIENT($C6,2^3),2)</f>
        <v>1</v>
      </c>
      <c r="W6" s="4" t="n">
        <f aca="false">MOD(QUOTIENT($C6,2^2),2)</f>
        <v>0</v>
      </c>
      <c r="X6" s="4" t="n">
        <f aca="false">MOD(QUOTIENT($C6,2^1),2)</f>
        <v>0</v>
      </c>
      <c r="Y6" s="4" t="n">
        <f aca="false">MOD(QUOTIENT($C6,2^0),2)</f>
        <v>1</v>
      </c>
    </row>
    <row r="7" customFormat="false" ht="13.8" hidden="false" customHeight="false" outlineLevel="0" collapsed="false">
      <c r="A7" s="1" t="s">
        <v>10</v>
      </c>
      <c r="B7" s="1" t="s">
        <v>11</v>
      </c>
      <c r="C7" s="1" t="n">
        <f aca="false">C1+C2+C2</f>
        <v>48319</v>
      </c>
      <c r="E7" s="1" t="s">
        <v>12</v>
      </c>
      <c r="G7" s="4" t="n">
        <f aca="false">MOD(QUOTIENT($C7,2^15),2)</f>
        <v>1</v>
      </c>
      <c r="H7" s="4" t="n">
        <f aca="false">MOD(QUOTIENT($C7,2^14),2)</f>
        <v>0</v>
      </c>
      <c r="I7" s="4" t="n">
        <f aca="false">MOD(QUOTIENT($C7,2^13),2)</f>
        <v>1</v>
      </c>
      <c r="J7" s="4" t="n">
        <f aca="false">MOD(QUOTIENT($C7,2^12),2)</f>
        <v>1</v>
      </c>
      <c r="K7" s="4" t="s">
        <v>4</v>
      </c>
      <c r="L7" s="4" t="n">
        <f aca="false">MOD(QUOTIENT($C7,2^11),2)</f>
        <v>1</v>
      </c>
      <c r="M7" s="4" t="n">
        <f aca="false">MOD(QUOTIENT($C7,2^10),2)</f>
        <v>1</v>
      </c>
      <c r="N7" s="4" t="n">
        <f aca="false">MOD(QUOTIENT($C7,2^9),2)</f>
        <v>0</v>
      </c>
      <c r="O7" s="4" t="n">
        <f aca="false">MOD(QUOTIENT($C7,2^8),2)</f>
        <v>0</v>
      </c>
      <c r="P7" s="4" t="s">
        <v>4</v>
      </c>
      <c r="Q7" s="4" t="n">
        <f aca="false">MOD(QUOTIENT($C7,2^7),2)</f>
        <v>1</v>
      </c>
      <c r="R7" s="4" t="n">
        <f aca="false">MOD(QUOTIENT($C7,2^6),2)</f>
        <v>0</v>
      </c>
      <c r="S7" s="4" t="n">
        <f aca="false">MOD(QUOTIENT($C7,2^5),2)</f>
        <v>1</v>
      </c>
      <c r="T7" s="4" t="n">
        <f aca="false">MOD(QUOTIENT($C7,2^4),2)</f>
        <v>1</v>
      </c>
      <c r="U7" s="4" t="s">
        <v>4</v>
      </c>
      <c r="V7" s="4" t="n">
        <f aca="false">MOD(QUOTIENT($C7,2^3),2)</f>
        <v>1</v>
      </c>
      <c r="W7" s="4" t="n">
        <f aca="false">MOD(QUOTIENT($C7,2^2),2)</f>
        <v>1</v>
      </c>
      <c r="X7" s="4" t="n">
        <f aca="false">MOD(QUOTIENT($C7,2^1),2)</f>
        <v>1</v>
      </c>
      <c r="Y7" s="4" t="n">
        <f aca="false">MOD(QUOTIENT($C7,2^0),2)</f>
        <v>1</v>
      </c>
    </row>
    <row r="8" customFormat="false" ht="13.8" hidden="false" customHeight="false" outlineLevel="0" collapsed="false">
      <c r="A8" s="1" t="s">
        <v>13</v>
      </c>
      <c r="B8" s="1" t="s">
        <v>14</v>
      </c>
      <c r="C8" s="1" t="n">
        <f aca="false">C2-C1</f>
        <v>21779</v>
      </c>
      <c r="E8" s="1" t="s">
        <v>15</v>
      </c>
      <c r="G8" s="1" t="n">
        <f aca="false">MOD(QUOTIENT($C8,2^15),2)</f>
        <v>0</v>
      </c>
      <c r="H8" s="1" t="n">
        <f aca="false">MOD(QUOTIENT($C8,2^14),2)</f>
        <v>1</v>
      </c>
      <c r="I8" s="1" t="n">
        <f aca="false">MOD(QUOTIENT($C8,2^13),2)</f>
        <v>0</v>
      </c>
      <c r="J8" s="1" t="n">
        <f aca="false">MOD(QUOTIENT($C8,2^12),2)</f>
        <v>1</v>
      </c>
      <c r="K8" s="1" t="s">
        <v>4</v>
      </c>
      <c r="L8" s="1" t="n">
        <f aca="false">MOD(QUOTIENT($C8,2^11),2)</f>
        <v>0</v>
      </c>
      <c r="M8" s="1" t="n">
        <f aca="false">MOD(QUOTIENT($C8,2^10),2)</f>
        <v>1</v>
      </c>
      <c r="N8" s="1" t="n">
        <f aca="false">MOD(QUOTIENT($C8,2^9),2)</f>
        <v>0</v>
      </c>
      <c r="O8" s="1" t="n">
        <f aca="false">MOD(QUOTIENT($C8,2^8),2)</f>
        <v>1</v>
      </c>
      <c r="P8" s="1" t="s">
        <v>4</v>
      </c>
      <c r="Q8" s="1" t="n">
        <f aca="false">MOD(QUOTIENT($C8,2^7),2)</f>
        <v>0</v>
      </c>
      <c r="R8" s="1" t="n">
        <f aca="false">MOD(QUOTIENT($C8,2^6),2)</f>
        <v>0</v>
      </c>
      <c r="S8" s="1" t="n">
        <f aca="false">MOD(QUOTIENT($C8,2^5),2)</f>
        <v>0</v>
      </c>
      <c r="T8" s="1" t="n">
        <f aca="false">MOD(QUOTIENT($C8,2^4),2)</f>
        <v>1</v>
      </c>
      <c r="U8" s="1" t="s">
        <v>4</v>
      </c>
      <c r="V8" s="1" t="n">
        <f aca="false">MOD(QUOTIENT($C8,2^3),2)</f>
        <v>0</v>
      </c>
      <c r="W8" s="1" t="n">
        <f aca="false">MOD(QUOTIENT($C8,2^2),2)</f>
        <v>0</v>
      </c>
      <c r="X8" s="1" t="n">
        <f aca="false">MOD(QUOTIENT($C8,2^1),2)</f>
        <v>1</v>
      </c>
      <c r="Y8" s="1" t="n">
        <f aca="false">MOD(QUOTIENT($C8,2^0),2)</f>
        <v>1</v>
      </c>
    </row>
    <row r="9" customFormat="false" ht="13.8" hidden="false" customHeight="false" outlineLevel="0" collapsed="false">
      <c r="A9" s="1" t="s">
        <v>16</v>
      </c>
      <c r="B9" s="1" t="s">
        <v>17</v>
      </c>
      <c r="C9" s="1" t="n">
        <f aca="false">65536-C7</f>
        <v>17217</v>
      </c>
      <c r="E9" s="1" t="s">
        <v>18</v>
      </c>
      <c r="G9" s="1" t="n">
        <f aca="false">MOD(QUOTIENT($C9,2^15),2)</f>
        <v>0</v>
      </c>
      <c r="H9" s="1" t="n">
        <f aca="false">MOD(QUOTIENT($C9,2^14),2)</f>
        <v>1</v>
      </c>
      <c r="I9" s="1" t="n">
        <f aca="false">MOD(QUOTIENT($C9,2^13),2)</f>
        <v>0</v>
      </c>
      <c r="J9" s="1" t="n">
        <f aca="false">MOD(QUOTIENT($C9,2^12),2)</f>
        <v>0</v>
      </c>
      <c r="K9" s="1" t="s">
        <v>4</v>
      </c>
      <c r="L9" s="1" t="n">
        <f aca="false">MOD(QUOTIENT($C9,2^11),2)</f>
        <v>0</v>
      </c>
      <c r="M9" s="1" t="n">
        <f aca="false">MOD(QUOTIENT($C9,2^10),2)</f>
        <v>0</v>
      </c>
      <c r="N9" s="1" t="n">
        <f aca="false">MOD(QUOTIENT($C9,2^9),2)</f>
        <v>1</v>
      </c>
      <c r="O9" s="1" t="n">
        <f aca="false">MOD(QUOTIENT($C9,2^8),2)</f>
        <v>1</v>
      </c>
      <c r="P9" s="1" t="s">
        <v>4</v>
      </c>
      <c r="Q9" s="1" t="n">
        <f aca="false">MOD(QUOTIENT($C9,2^7),2)</f>
        <v>0</v>
      </c>
      <c r="R9" s="1" t="n">
        <f aca="false">MOD(QUOTIENT($C9,2^6),2)</f>
        <v>1</v>
      </c>
      <c r="S9" s="1" t="n">
        <f aca="false">MOD(QUOTIENT($C9,2^5),2)</f>
        <v>0</v>
      </c>
      <c r="T9" s="1" t="n">
        <f aca="false">MOD(QUOTIENT($C9,2^4),2)</f>
        <v>0</v>
      </c>
      <c r="U9" s="1" t="s">
        <v>4</v>
      </c>
      <c r="V9" s="1" t="n">
        <f aca="false">MOD(QUOTIENT($C9,2^3),2)</f>
        <v>0</v>
      </c>
      <c r="W9" s="1" t="n">
        <f aca="false">MOD(QUOTIENT($C9,2^2),2)</f>
        <v>0</v>
      </c>
      <c r="X9" s="1" t="n">
        <f aca="false">MOD(QUOTIENT($C9,2^1),2)</f>
        <v>0</v>
      </c>
      <c r="Y9" s="1" t="n">
        <f aca="false">MOD(QUOTIENT($C9,2^0),2)</f>
        <v>1</v>
      </c>
    </row>
    <row r="10" customFormat="false" ht="13.8" hidden="false" customHeight="false" outlineLevel="0" collapsed="false">
      <c r="A10" s="1" t="s">
        <v>19</v>
      </c>
      <c r="B10" s="1" t="s">
        <v>20</v>
      </c>
      <c r="C10" s="1" t="n">
        <f aca="false">-C4</f>
        <v>-1587</v>
      </c>
      <c r="E10" s="1" t="s">
        <v>21</v>
      </c>
      <c r="F10" s="1" t="s">
        <v>22</v>
      </c>
      <c r="G10" s="1" t="n">
        <f aca="false">MOD(QUOTIENT($C10+65536,2^15),2)</f>
        <v>1</v>
      </c>
      <c r="H10" s="1" t="n">
        <f aca="false">MOD(QUOTIENT($C10+65536,2^14),2)</f>
        <v>1</v>
      </c>
      <c r="I10" s="1" t="n">
        <f aca="false">MOD(QUOTIENT($C10+65536,2^13),2)</f>
        <v>1</v>
      </c>
      <c r="J10" s="1" t="n">
        <f aca="false">MOD(QUOTIENT($C10+65536,2^12),2)</f>
        <v>1</v>
      </c>
      <c r="K10" s="1" t="s">
        <v>4</v>
      </c>
      <c r="L10" s="1" t="n">
        <f aca="false">MOD(QUOTIENT($C10+65536,2^11),2)</f>
        <v>1</v>
      </c>
      <c r="M10" s="1" t="n">
        <f aca="false">MOD(QUOTIENT($C10+65536,2^10),2)</f>
        <v>0</v>
      </c>
      <c r="N10" s="1" t="n">
        <f aca="false">MOD(QUOTIENT($C10+65536,2^9),2)</f>
        <v>0</v>
      </c>
      <c r="O10" s="1" t="n">
        <f aca="false">MOD(QUOTIENT($C10+65536,2^8),2)</f>
        <v>1</v>
      </c>
      <c r="P10" s="1" t="s">
        <v>4</v>
      </c>
      <c r="Q10" s="1" t="n">
        <f aca="false">MOD(QUOTIENT($C10+65536,2^7),2)</f>
        <v>1</v>
      </c>
      <c r="R10" s="1" t="n">
        <f aca="false">MOD(QUOTIENT($C10+65536,2^6),2)</f>
        <v>1</v>
      </c>
      <c r="S10" s="1" t="n">
        <f aca="false">MOD(QUOTIENT($C10+65536,2^5),2)</f>
        <v>0</v>
      </c>
      <c r="T10" s="1" t="n">
        <f aca="false">MOD(QUOTIENT($C10+65536,2^4),2)</f>
        <v>0</v>
      </c>
      <c r="U10" s="1" t="s">
        <v>4</v>
      </c>
      <c r="V10" s="1" t="n">
        <f aca="false">MOD(QUOTIENT($C10+65536,2^3),2)</f>
        <v>1</v>
      </c>
      <c r="W10" s="1" t="n">
        <f aca="false">MOD(QUOTIENT($C10+65536,2^2),2)</f>
        <v>1</v>
      </c>
      <c r="X10" s="1" t="n">
        <f aca="false">MOD(QUOTIENT($C10+65536,2^1),2)</f>
        <v>0</v>
      </c>
      <c r="Y10" s="1" t="n">
        <f aca="false">MOD(QUOTIENT($C10+65536,2^0),2)</f>
        <v>1</v>
      </c>
    </row>
    <row r="11" customFormat="false" ht="13.8" hidden="false" customHeight="false" outlineLevel="0" collapsed="false">
      <c r="A11" s="1" t="s">
        <v>23</v>
      </c>
      <c r="B11" s="1" t="s">
        <v>24</v>
      </c>
      <c r="C11" s="1" t="n">
        <f aca="false">-C5</f>
        <v>-23366</v>
      </c>
      <c r="E11" s="1" t="s">
        <v>25</v>
      </c>
      <c r="F11" s="1" t="s">
        <v>26</v>
      </c>
      <c r="G11" s="1" t="n">
        <f aca="false">MOD(QUOTIENT($C11+65536,2^15),2)</f>
        <v>1</v>
      </c>
      <c r="H11" s="1" t="n">
        <f aca="false">MOD(QUOTIENT($C11+65536,2^14),2)</f>
        <v>0</v>
      </c>
      <c r="I11" s="1" t="n">
        <f aca="false">MOD(QUOTIENT($C11+65536,2^13),2)</f>
        <v>1</v>
      </c>
      <c r="J11" s="1" t="n">
        <f aca="false">MOD(QUOTIENT($C11+65536,2^12),2)</f>
        <v>0</v>
      </c>
      <c r="K11" s="1" t="s">
        <v>4</v>
      </c>
      <c r="L11" s="1" t="n">
        <f aca="false">MOD(QUOTIENT($C11+65536,2^11),2)</f>
        <v>0</v>
      </c>
      <c r="M11" s="1" t="n">
        <f aca="false">MOD(QUOTIENT($C11+65536,2^10),2)</f>
        <v>1</v>
      </c>
      <c r="N11" s="1" t="n">
        <f aca="false">MOD(QUOTIENT($C11+65536,2^9),2)</f>
        <v>0</v>
      </c>
      <c r="O11" s="1" t="n">
        <f aca="false">MOD(QUOTIENT($C11+65536,2^8),2)</f>
        <v>0</v>
      </c>
      <c r="P11" s="1" t="s">
        <v>4</v>
      </c>
      <c r="Q11" s="1" t="n">
        <f aca="false">MOD(QUOTIENT($C11+65536,2^7),2)</f>
        <v>1</v>
      </c>
      <c r="R11" s="1" t="n">
        <f aca="false">MOD(QUOTIENT($C11+65536,2^6),2)</f>
        <v>0</v>
      </c>
      <c r="S11" s="1" t="n">
        <f aca="false">MOD(QUOTIENT($C11+65536,2^5),2)</f>
        <v>1</v>
      </c>
      <c r="T11" s="1" t="n">
        <f aca="false">MOD(QUOTIENT($C11+65536,2^4),2)</f>
        <v>1</v>
      </c>
      <c r="U11" s="1" t="s">
        <v>4</v>
      </c>
      <c r="V11" s="1" t="n">
        <f aca="false">MOD(QUOTIENT($C11+65536,2^3),2)</f>
        <v>1</v>
      </c>
      <c r="W11" s="1" t="n">
        <f aca="false">MOD(QUOTIENT($C11+65536,2^2),2)</f>
        <v>0</v>
      </c>
      <c r="X11" s="1" t="n">
        <f aca="false">MOD(QUOTIENT($C11+65536,2^1),2)</f>
        <v>1</v>
      </c>
      <c r="Y11" s="1" t="n">
        <f aca="false">MOD(QUOTIENT($C11+65536,2^0),2)</f>
        <v>0</v>
      </c>
    </row>
    <row r="12" customFormat="false" ht="13.8" hidden="false" customHeight="false" outlineLevel="0" collapsed="false">
      <c r="A12" s="1" t="s">
        <v>27</v>
      </c>
      <c r="B12" s="1" t="s">
        <v>28</v>
      </c>
      <c r="C12" s="1" t="n">
        <f aca="false">-C6</f>
        <v>-24953</v>
      </c>
      <c r="E12" s="1" t="s">
        <v>29</v>
      </c>
      <c r="F12" s="1" t="s">
        <v>30</v>
      </c>
      <c r="G12" s="1" t="n">
        <f aca="false">MOD(QUOTIENT($C12+65536,2^15),2)</f>
        <v>1</v>
      </c>
      <c r="H12" s="1" t="n">
        <f aca="false">MOD(QUOTIENT($C12+65536,2^14),2)</f>
        <v>0</v>
      </c>
      <c r="I12" s="1" t="n">
        <f aca="false">MOD(QUOTIENT($C12+65536,2^13),2)</f>
        <v>0</v>
      </c>
      <c r="J12" s="1" t="n">
        <f aca="false">MOD(QUOTIENT($C12+65536,2^12),2)</f>
        <v>1</v>
      </c>
      <c r="K12" s="1" t="s">
        <v>4</v>
      </c>
      <c r="L12" s="1" t="n">
        <f aca="false">MOD(QUOTIENT($C12+65536,2^11),2)</f>
        <v>1</v>
      </c>
      <c r="M12" s="1" t="n">
        <f aca="false">MOD(QUOTIENT($C12+65536,2^10),2)</f>
        <v>1</v>
      </c>
      <c r="N12" s="1" t="n">
        <f aca="false">MOD(QUOTIENT($C12+65536,2^9),2)</f>
        <v>1</v>
      </c>
      <c r="O12" s="1" t="n">
        <f aca="false">MOD(QUOTIENT($C12+65536,2^8),2)</f>
        <v>0</v>
      </c>
      <c r="P12" s="1" t="s">
        <v>4</v>
      </c>
      <c r="Q12" s="1" t="n">
        <f aca="false">MOD(QUOTIENT($C12+65536,2^7),2)</f>
        <v>1</v>
      </c>
      <c r="R12" s="1" t="n">
        <f aca="false">MOD(QUOTIENT($C12+65536,2^6),2)</f>
        <v>0</v>
      </c>
      <c r="S12" s="1" t="n">
        <f aca="false">MOD(QUOTIENT($C12+65536,2^5),2)</f>
        <v>0</v>
      </c>
      <c r="T12" s="1" t="n">
        <f aca="false">MOD(QUOTIENT($C12+65536,2^4),2)</f>
        <v>0</v>
      </c>
      <c r="U12" s="1" t="s">
        <v>4</v>
      </c>
      <c r="V12" s="1" t="n">
        <f aca="false">MOD(QUOTIENT($C12+65536,2^3),2)</f>
        <v>0</v>
      </c>
      <c r="W12" s="1" t="n">
        <f aca="false">MOD(QUOTIENT($C12+65536,2^2),2)</f>
        <v>1</v>
      </c>
      <c r="X12" s="1" t="n">
        <f aca="false">MOD(QUOTIENT($C12+65536,2^1),2)</f>
        <v>1</v>
      </c>
      <c r="Y12" s="1" t="n">
        <f aca="false">MOD(QUOTIENT($C12+65536,2^0),2)</f>
        <v>1</v>
      </c>
    </row>
    <row r="13" customFormat="false" ht="13.8" hidden="false" customHeight="false" outlineLevel="0" collapsed="false">
      <c r="A13" s="1" t="s">
        <v>31</v>
      </c>
      <c r="B13" s="1" t="s">
        <v>32</v>
      </c>
      <c r="C13" s="1" t="n">
        <f aca="false">-C7</f>
        <v>-48319</v>
      </c>
      <c r="E13" s="1" t="s">
        <v>33</v>
      </c>
      <c r="F13" s="1" t="s">
        <v>34</v>
      </c>
      <c r="G13" s="1" t="n">
        <f aca="false">MOD(QUOTIENT($C13+65536,2^15),2)</f>
        <v>0</v>
      </c>
      <c r="H13" s="1" t="n">
        <f aca="false">MOD(QUOTIENT($C13+65536,2^14),2)</f>
        <v>1</v>
      </c>
      <c r="I13" s="1" t="n">
        <f aca="false">MOD(QUOTIENT($C13+65536,2^13),2)</f>
        <v>0</v>
      </c>
      <c r="J13" s="1" t="n">
        <f aca="false">MOD(QUOTIENT($C13+65536,2^12),2)</f>
        <v>0</v>
      </c>
      <c r="K13" s="1" t="s">
        <v>4</v>
      </c>
      <c r="L13" s="1" t="n">
        <f aca="false">MOD(QUOTIENT($C13+65536,2^11),2)</f>
        <v>0</v>
      </c>
      <c r="M13" s="1" t="n">
        <f aca="false">MOD(QUOTIENT($C13+65536,2^10),2)</f>
        <v>0</v>
      </c>
      <c r="N13" s="1" t="n">
        <f aca="false">MOD(QUOTIENT($C13+65536,2^9),2)</f>
        <v>1</v>
      </c>
      <c r="O13" s="1" t="n">
        <f aca="false">MOD(QUOTIENT($C13+65536,2^8),2)</f>
        <v>1</v>
      </c>
      <c r="P13" s="1" t="s">
        <v>4</v>
      </c>
      <c r="Q13" s="1" t="n">
        <f aca="false">MOD(QUOTIENT($C13+65536,2^7),2)</f>
        <v>0</v>
      </c>
      <c r="R13" s="1" t="n">
        <f aca="false">MOD(QUOTIENT($C13+65536,2^6),2)</f>
        <v>1</v>
      </c>
      <c r="S13" s="1" t="n">
        <f aca="false">MOD(QUOTIENT($C13+65536,2^5),2)</f>
        <v>0</v>
      </c>
      <c r="T13" s="1" t="n">
        <f aca="false">MOD(QUOTIENT($C13+65536,2^4),2)</f>
        <v>0</v>
      </c>
      <c r="U13" s="1" t="s">
        <v>4</v>
      </c>
      <c r="V13" s="1" t="n">
        <f aca="false">MOD(QUOTIENT($C13+65536,2^3),2)</f>
        <v>0</v>
      </c>
      <c r="W13" s="1" t="n">
        <f aca="false">MOD(QUOTIENT($C13+65536,2^2),2)</f>
        <v>0</v>
      </c>
      <c r="X13" s="1" t="n">
        <f aca="false">MOD(QUOTIENT($C13+65536,2^1),2)</f>
        <v>0</v>
      </c>
      <c r="Y13" s="1" t="n">
        <f aca="false">MOD(QUOTIENT($C13+65536,2^0),2)</f>
        <v>1</v>
      </c>
    </row>
    <row r="14" customFormat="false" ht="13.8" hidden="false" customHeight="false" outlineLevel="0" collapsed="false">
      <c r="A14" s="1" t="s">
        <v>35</v>
      </c>
      <c r="B14" s="1" t="s">
        <v>36</v>
      </c>
      <c r="C14" s="1" t="n">
        <f aca="false">-C8</f>
        <v>-21779</v>
      </c>
      <c r="E14" s="1" t="s">
        <v>37</v>
      </c>
      <c r="F14" s="1" t="s">
        <v>38</v>
      </c>
      <c r="G14" s="1" t="n">
        <f aca="false">MOD(QUOTIENT($C14+65536,2^15),2)</f>
        <v>1</v>
      </c>
      <c r="H14" s="1" t="n">
        <f aca="false">MOD(QUOTIENT($C14+65536,2^14),2)</f>
        <v>0</v>
      </c>
      <c r="I14" s="1" t="n">
        <f aca="false">MOD(QUOTIENT($C14+65536,2^13),2)</f>
        <v>1</v>
      </c>
      <c r="J14" s="1" t="n">
        <f aca="false">MOD(QUOTIENT($C14+65536,2^12),2)</f>
        <v>0</v>
      </c>
      <c r="K14" s="1" t="s">
        <v>4</v>
      </c>
      <c r="L14" s="1" t="n">
        <f aca="false">MOD(QUOTIENT($C14+65536,2^11),2)</f>
        <v>1</v>
      </c>
      <c r="M14" s="1" t="n">
        <f aca="false">MOD(QUOTIENT($C14+65536,2^10),2)</f>
        <v>0</v>
      </c>
      <c r="N14" s="1" t="n">
        <f aca="false">MOD(QUOTIENT($C14+65536,2^9),2)</f>
        <v>1</v>
      </c>
      <c r="O14" s="1" t="n">
        <f aca="false">MOD(QUOTIENT($C14+65536,2^8),2)</f>
        <v>0</v>
      </c>
      <c r="P14" s="1" t="s">
        <v>4</v>
      </c>
      <c r="Q14" s="1" t="n">
        <f aca="false">MOD(QUOTIENT($C14+65536,2^7),2)</f>
        <v>1</v>
      </c>
      <c r="R14" s="1" t="n">
        <f aca="false">MOD(QUOTIENT($C14+65536,2^6),2)</f>
        <v>1</v>
      </c>
      <c r="S14" s="1" t="n">
        <f aca="false">MOD(QUOTIENT($C14+65536,2^5),2)</f>
        <v>1</v>
      </c>
      <c r="T14" s="1" t="n">
        <f aca="false">MOD(QUOTIENT($C14+65536,2^4),2)</f>
        <v>0</v>
      </c>
      <c r="U14" s="1" t="s">
        <v>4</v>
      </c>
      <c r="V14" s="1" t="n">
        <f aca="false">MOD(QUOTIENT($C14+65536,2^3),2)</f>
        <v>1</v>
      </c>
      <c r="W14" s="1" t="n">
        <f aca="false">MOD(QUOTIENT($C14+65536,2^2),2)</f>
        <v>1</v>
      </c>
      <c r="X14" s="1" t="n">
        <f aca="false">MOD(QUOTIENT($C14+65536,2^1),2)</f>
        <v>0</v>
      </c>
      <c r="Y14" s="1" t="n">
        <f aca="false">MOD(QUOTIENT($C14+65536,2^0),2)</f>
        <v>1</v>
      </c>
    </row>
    <row r="15" customFormat="false" ht="13.8" hidden="false" customHeight="false" outlineLevel="0" collapsed="false">
      <c r="A15" s="1" t="s">
        <v>39</v>
      </c>
      <c r="B15" s="1" t="s">
        <v>40</v>
      </c>
      <c r="C15" s="1" t="n">
        <f aca="false">-C9</f>
        <v>-17217</v>
      </c>
      <c r="E15" s="1" t="s">
        <v>41</v>
      </c>
      <c r="F15" s="1" t="s">
        <v>42</v>
      </c>
      <c r="G15" s="1" t="n">
        <f aca="false">MOD(QUOTIENT($C15+65536,2^15),2)</f>
        <v>1</v>
      </c>
      <c r="H15" s="1" t="n">
        <f aca="false">MOD(QUOTIENT($C15+65536,2^14),2)</f>
        <v>0</v>
      </c>
      <c r="I15" s="1" t="n">
        <f aca="false">MOD(QUOTIENT($C15+65536,2^13),2)</f>
        <v>1</v>
      </c>
      <c r="J15" s="1" t="n">
        <f aca="false">MOD(QUOTIENT($C15+65536,2^12),2)</f>
        <v>1</v>
      </c>
      <c r="K15" s="1" t="s">
        <v>4</v>
      </c>
      <c r="L15" s="1" t="n">
        <f aca="false">MOD(QUOTIENT($C15+65536,2^11),2)</f>
        <v>1</v>
      </c>
      <c r="M15" s="1" t="n">
        <f aca="false">MOD(QUOTIENT($C15+65536,2^10),2)</f>
        <v>1</v>
      </c>
      <c r="N15" s="1" t="n">
        <f aca="false">MOD(QUOTIENT($C15+65536,2^9),2)</f>
        <v>0</v>
      </c>
      <c r="O15" s="1" t="n">
        <f aca="false">MOD(QUOTIENT($C15+65536,2^8),2)</f>
        <v>0</v>
      </c>
      <c r="P15" s="1" t="s">
        <v>4</v>
      </c>
      <c r="Q15" s="1" t="n">
        <f aca="false">MOD(QUOTIENT($C15+65536,2^7),2)</f>
        <v>1</v>
      </c>
      <c r="R15" s="1" t="n">
        <f aca="false">MOD(QUOTIENT($C15+65536,2^6),2)</f>
        <v>0</v>
      </c>
      <c r="S15" s="1" t="n">
        <f aca="false">MOD(QUOTIENT($C15+65536,2^5),2)</f>
        <v>1</v>
      </c>
      <c r="T15" s="1" t="n">
        <f aca="false">MOD(QUOTIENT($C15+65536,2^4),2)</f>
        <v>1</v>
      </c>
      <c r="U15" s="1" t="s">
        <v>4</v>
      </c>
      <c r="V15" s="1" t="n">
        <f aca="false">MOD(QUOTIENT($C15+65536,2^3),2)</f>
        <v>1</v>
      </c>
      <c r="W15" s="1" t="n">
        <f aca="false">MOD(QUOTIENT($C15+65536,2^2),2)</f>
        <v>1</v>
      </c>
      <c r="X15" s="1" t="n">
        <f aca="false">MOD(QUOTIENT($C15+65536,2^1),2)</f>
        <v>1</v>
      </c>
      <c r="Y15" s="1" t="n">
        <f aca="false">MOD(QUOTIENT($C15+65536,2^0),2)</f>
        <v>1</v>
      </c>
    </row>
    <row r="23" customFormat="false" ht="13.8" hidden="false" customHeight="false" outlineLevel="0" collapsed="false">
      <c r="E23" s="5"/>
      <c r="F23" s="6" t="s">
        <v>43</v>
      </c>
      <c r="G23" s="6" t="n">
        <f aca="false">G4</f>
        <v>0</v>
      </c>
      <c r="H23" s="6" t="n">
        <f aca="false">H4</f>
        <v>0</v>
      </c>
      <c r="I23" s="6" t="n">
        <f aca="false">I4</f>
        <v>0</v>
      </c>
      <c r="J23" s="6" t="n">
        <f aca="false">J4</f>
        <v>0</v>
      </c>
      <c r="K23" s="6" t="str">
        <f aca="false">K4</f>
        <v>.</v>
      </c>
      <c r="L23" s="6" t="n">
        <f aca="false">L4</f>
        <v>0</v>
      </c>
      <c r="M23" s="6" t="n">
        <f aca="false">M4</f>
        <v>1</v>
      </c>
      <c r="N23" s="6" t="n">
        <f aca="false">N4</f>
        <v>1</v>
      </c>
      <c r="O23" s="6" t="n">
        <f aca="false">O4</f>
        <v>0</v>
      </c>
      <c r="P23" s="6" t="str">
        <f aca="false">P4</f>
        <v>.</v>
      </c>
      <c r="Q23" s="6" t="n">
        <f aca="false">Q4</f>
        <v>0</v>
      </c>
      <c r="R23" s="6" t="n">
        <f aca="false">R4</f>
        <v>0</v>
      </c>
      <c r="S23" s="6" t="n">
        <f aca="false">S4</f>
        <v>1</v>
      </c>
      <c r="T23" s="6" t="n">
        <f aca="false">T4</f>
        <v>1</v>
      </c>
      <c r="U23" s="6" t="str">
        <f aca="false">U4</f>
        <v>.</v>
      </c>
      <c r="V23" s="6" t="n">
        <f aca="false">V4</f>
        <v>0</v>
      </c>
      <c r="W23" s="6" t="n">
        <f aca="false">W4</f>
        <v>0</v>
      </c>
      <c r="X23" s="6" t="n">
        <f aca="false">X4</f>
        <v>1</v>
      </c>
      <c r="Y23" s="6" t="n">
        <f aca="false">Y4</f>
        <v>1</v>
      </c>
      <c r="Z23" s="6"/>
      <c r="AA23" s="6"/>
      <c r="AB23" s="6"/>
      <c r="AC23" s="6"/>
      <c r="AD23" s="6" t="s">
        <v>44</v>
      </c>
      <c r="AE23" s="6" t="n">
        <f aca="false">C4</f>
        <v>1587</v>
      </c>
      <c r="AF23" s="6"/>
      <c r="AG23" s="7" t="str">
        <f aca="false">IF(AA26=AE26,IF(OR(AND(G23=1,G24=0,G26=0),AND(G23=0,G24=1,G26=0)),$AP$27,$AP$23),IF(AND(G23=0,G24=0,G26=1),$AP$31,$AP$35))</f>
        <v>Результат корректный</v>
      </c>
      <c r="AH23" s="7"/>
      <c r="AI23" s="7"/>
      <c r="AJ23" s="7"/>
      <c r="AK23" s="7"/>
      <c r="AP23" s="8" t="s">
        <v>45</v>
      </c>
      <c r="AQ23" s="8"/>
      <c r="AR23" s="8"/>
      <c r="AS23" s="8"/>
      <c r="AT23" s="8"/>
    </row>
    <row r="24" customFormat="false" ht="13.8" hidden="false" customHeight="false" outlineLevel="0" collapsed="false">
      <c r="E24" s="9" t="s">
        <v>46</v>
      </c>
      <c r="F24" s="1" t="s">
        <v>47</v>
      </c>
      <c r="G24" s="1" t="n">
        <f aca="false">G5</f>
        <v>0</v>
      </c>
      <c r="H24" s="1" t="n">
        <f aca="false">H5</f>
        <v>1</v>
      </c>
      <c r="I24" s="1" t="n">
        <f aca="false">I5</f>
        <v>0</v>
      </c>
      <c r="J24" s="1" t="n">
        <f aca="false">J5</f>
        <v>1</v>
      </c>
      <c r="K24" s="1" t="str">
        <f aca="false">K5</f>
        <v>.</v>
      </c>
      <c r="L24" s="1" t="n">
        <f aca="false">L5</f>
        <v>1</v>
      </c>
      <c r="M24" s="1" t="n">
        <f aca="false">M5</f>
        <v>0</v>
      </c>
      <c r="N24" s="1" t="n">
        <f aca="false">N5</f>
        <v>1</v>
      </c>
      <c r="O24" s="1" t="n">
        <f aca="false">O5</f>
        <v>1</v>
      </c>
      <c r="P24" s="1" t="str">
        <f aca="false">P5</f>
        <v>.</v>
      </c>
      <c r="Q24" s="1" t="n">
        <f aca="false">Q5</f>
        <v>0</v>
      </c>
      <c r="R24" s="1" t="n">
        <f aca="false">R5</f>
        <v>1</v>
      </c>
      <c r="S24" s="1" t="n">
        <f aca="false">S5</f>
        <v>0</v>
      </c>
      <c r="T24" s="1" t="n">
        <f aca="false">T5</f>
        <v>0</v>
      </c>
      <c r="U24" s="1" t="str">
        <f aca="false">U5</f>
        <v>.</v>
      </c>
      <c r="V24" s="1" t="n">
        <f aca="false">V5</f>
        <v>0</v>
      </c>
      <c r="W24" s="1" t="n">
        <f aca="false">W5</f>
        <v>1</v>
      </c>
      <c r="X24" s="1" t="n">
        <f aca="false">X5</f>
        <v>1</v>
      </c>
      <c r="Y24" s="1" t="n">
        <f aca="false">Y5</f>
        <v>0</v>
      </c>
      <c r="AC24" s="1" t="s">
        <v>46</v>
      </c>
      <c r="AD24" s="1" t="s">
        <v>48</v>
      </c>
      <c r="AE24" s="1" t="n">
        <f aca="false">C5</f>
        <v>23366</v>
      </c>
      <c r="AG24" s="7"/>
      <c r="AH24" s="7"/>
      <c r="AI24" s="7"/>
      <c r="AJ24" s="7"/>
      <c r="AK24" s="7"/>
      <c r="AP24" s="8"/>
      <c r="AQ24" s="8"/>
      <c r="AR24" s="8"/>
      <c r="AS24" s="8"/>
      <c r="AT24" s="8"/>
    </row>
    <row r="25" customFormat="false" ht="13.8" hidden="false" customHeight="false" outlineLevel="0" collapsed="false">
      <c r="E25" s="9"/>
      <c r="F25" s="1" t="s">
        <v>49</v>
      </c>
      <c r="G25" s="1" t="s">
        <v>49</v>
      </c>
      <c r="H25" s="1" t="s">
        <v>49</v>
      </c>
      <c r="I25" s="1" t="s">
        <v>49</v>
      </c>
      <c r="J25" s="1" t="s">
        <v>49</v>
      </c>
      <c r="K25" s="1" t="s">
        <v>49</v>
      </c>
      <c r="L25" s="1" t="s">
        <v>49</v>
      </c>
      <c r="M25" s="1" t="s">
        <v>49</v>
      </c>
      <c r="N25" s="1" t="s">
        <v>49</v>
      </c>
      <c r="O25" s="1" t="s">
        <v>49</v>
      </c>
      <c r="P25" s="1" t="s">
        <v>49</v>
      </c>
      <c r="Q25" s="1" t="s">
        <v>49</v>
      </c>
      <c r="R25" s="1" t="s">
        <v>49</v>
      </c>
      <c r="S25" s="1" t="s">
        <v>49</v>
      </c>
      <c r="T25" s="1" t="s">
        <v>49</v>
      </c>
      <c r="U25" s="1" t="s">
        <v>49</v>
      </c>
      <c r="V25" s="1" t="s">
        <v>49</v>
      </c>
      <c r="W25" s="1" t="s">
        <v>49</v>
      </c>
      <c r="X25" s="1" t="s">
        <v>49</v>
      </c>
      <c r="Y25" s="1" t="s">
        <v>49</v>
      </c>
      <c r="AD25" s="1" t="s">
        <v>49</v>
      </c>
      <c r="AE25" s="1" t="s">
        <v>49</v>
      </c>
      <c r="AG25" s="7"/>
      <c r="AH25" s="7"/>
      <c r="AI25" s="7"/>
      <c r="AJ25" s="7"/>
      <c r="AK25" s="7"/>
      <c r="AP25" s="8"/>
      <c r="AQ25" s="8"/>
      <c r="AR25" s="8"/>
      <c r="AS25" s="8"/>
      <c r="AT25" s="8"/>
    </row>
    <row r="26" customFormat="false" ht="13.8" hidden="false" customHeight="false" outlineLevel="0" collapsed="false">
      <c r="E26" s="9"/>
      <c r="G26" s="1" t="n">
        <f aca="false">MOD(G23+G24+IF(OR(AND(H23=1,H24=1),AND(H23=1,H24=0,H26=0),AND(H23=0,H24=1,H26=0)),1,0),2)</f>
        <v>0</v>
      </c>
      <c r="H26" s="1" t="n">
        <f aca="false">MOD(H23+H24+IF(OR(AND(I23=1,I24=1),AND(I23=1,I24=0,I26=0),AND(I23=0,I24=1,I26=0)),1,0),2)</f>
        <v>1</v>
      </c>
      <c r="I26" s="1" t="n">
        <f aca="false">MOD(I23+I24+IF(OR(AND(J23=1,J24=1),AND(J23=1,J24=0,J26=0),AND(J23=0,J24=1,J26=0)),1,0),2)</f>
        <v>1</v>
      </c>
      <c r="J26" s="1" t="n">
        <f aca="false">MOD(J23+J24+IF(OR(AND(L23=1,L24=1),AND(L23=1,L24=0,L26=0),AND(L23=0,L24=1,L26=0)),1,0),2)</f>
        <v>0</v>
      </c>
      <c r="K26" s="1" t="s">
        <v>4</v>
      </c>
      <c r="L26" s="1" t="n">
        <f aca="false">MOD(L23+L24+IF(OR(AND(M23=1,M24=1),AND(M23=1,M24=0,M26=0),AND(M23=0,M24=1,M26=0)),1,0),2)</f>
        <v>0</v>
      </c>
      <c r="M26" s="1" t="n">
        <f aca="false">MOD(M23+M24+IF(OR(AND(N23=1,N24=1),AND(N23=1,N24=0,N26=0),AND(N23=0,N24=1,N26=0)),1,0),2)</f>
        <v>0</v>
      </c>
      <c r="N26" s="1" t="n">
        <f aca="false">MOD(N23+N24+IF(OR(AND(O23=1,O24=1),AND(O23=1,O24=0,O26=0),AND(O23=0,O24=1,O26=0)),1,0),2)</f>
        <v>0</v>
      </c>
      <c r="O26" s="1" t="n">
        <f aca="false">MOD(O23+O24+IF(OR(AND(Q23=1,Q24=1),AND(Q23=1,Q24=0,Q26=0),AND(Q23=0,Q24=1,Q26=0)),1,0),2)</f>
        <v>1</v>
      </c>
      <c r="P26" s="1" t="s">
        <v>4</v>
      </c>
      <c r="Q26" s="1" t="n">
        <f aca="false">MOD(Q23+Q24+IF(OR(AND(R23=1,R24=1),AND(R23=1,R24=0,R26=0),AND(R23=0,R24=1,R26=0)),1,0),2)</f>
        <v>0</v>
      </c>
      <c r="R26" s="1" t="n">
        <f aca="false">MOD(R23+R24+IF(OR(AND(S23=1,S24=1),AND(S23=1,S24=0,S26=0),AND(S23=0,S24=1,S26=0)),1,0),2)</f>
        <v>1</v>
      </c>
      <c r="S26" s="1" t="n">
        <f aca="false">MOD(S23+S24+IF(OR(AND(T23=1,T24=1),AND(T23=1,T24=0,T26=0),AND(T23=0,T24=1,T26=0)),1,0),2)</f>
        <v>1</v>
      </c>
      <c r="T26" s="1" t="n">
        <f aca="false">MOD(T23+T24+IF(OR(AND(V23=1,V24=1),AND(V23=1,V24=0,V26=0),AND(V23=0,V24=1,V26=0)),1,0),2)</f>
        <v>1</v>
      </c>
      <c r="U26" s="1" t="s">
        <v>4</v>
      </c>
      <c r="V26" s="1" t="n">
        <f aca="false">MOD(V23+V24+IF(OR(AND(W23=1,W24=1),AND(W23=1,W24=0,W26=0),AND(W23=0,W24=1,W26=0)),1,0),2)</f>
        <v>1</v>
      </c>
      <c r="W26" s="1" t="n">
        <f aca="false">MOD(W23+W24+IF(OR(AND(X23=1,X24=1),AND(X23=1,X24=0,X26=0),AND(X23=0,X24=1,X26=0)),1,0),2)</f>
        <v>0</v>
      </c>
      <c r="X26" s="1" t="n">
        <f aca="false">MOD(X23+X24+IF(OR(AND(Y23=1,Y24=1),AND(Y23=1,Y24=0,Y26=0),AND(Y23=0,Y24=1,Y26=0)),1,0),2)</f>
        <v>0</v>
      </c>
      <c r="Y26" s="1" t="n">
        <f aca="false">MOD(Y23+Y24+IF(OR(AND(Z23=1,Z24=1),AND(Z23=1,Z24=0,Z26=0),AND(Z23=0,Z24=1,Z26=0)),1,0),2)</f>
        <v>1</v>
      </c>
      <c r="Z26" s="1" t="s">
        <v>50</v>
      </c>
      <c r="AA26" s="1" t="n">
        <f aca="false">IF(G26=1,
-(MOD(H26+1,2)*2^14+MOD(I26+1,2)*2^13+MOD(J26+1,2)*2^12+MOD(L26+1,2)*2^11+MOD(M26+1,2)*2^10+MOD(N26+1,2)*2^9+MOD(O26+1,2)*2^8+MOD(Q26+1,2)*2^7+MOD(R26+1,2)*2^6 + MOD(S26+1,2)*2^5+MOD(T26+1,2)*2^4+MOD(V26+1,2)*2^3+MOD(W26+1,2)*2^2+MOD(X26+1,2)*2^1+MOD(Y26+1,2)*2^0 + 1),
(H26*2^14+I26*2^13+J26*2^12+L26*2^11+M26*2^10+N26*2^9+O26*2^8+Q26*2^7+R26*2^6 + S26*2^5+T26*2^4+V26*2^3+W26*2^2+X26*2^1+Y26*2^0))</f>
        <v>24953</v>
      </c>
      <c r="AE26" s="1" t="n">
        <f aca="false">AE23+AE24</f>
        <v>24953</v>
      </c>
      <c r="AG26" s="7"/>
      <c r="AH26" s="7"/>
      <c r="AI26" s="7"/>
      <c r="AJ26" s="7"/>
      <c r="AK26" s="7"/>
      <c r="AP26" s="8"/>
      <c r="AQ26" s="8"/>
      <c r="AR26" s="8"/>
      <c r="AS26" s="8"/>
      <c r="AT26" s="8"/>
    </row>
    <row r="27" customFormat="false" ht="13.8" hidden="false" customHeight="true" outlineLevel="0" collapsed="false">
      <c r="E27" s="9"/>
      <c r="AK27" s="10"/>
      <c r="AP27" s="11" t="s">
        <v>51</v>
      </c>
      <c r="AQ27" s="11"/>
      <c r="AR27" s="11"/>
      <c r="AS27" s="11"/>
      <c r="AT27" s="11"/>
    </row>
    <row r="28" customFormat="false" ht="13.8" hidden="false" customHeight="false" outlineLevel="0" collapsed="false">
      <c r="E28" s="12" t="s">
        <v>52</v>
      </c>
      <c r="F28" s="12"/>
      <c r="G28" s="13" t="n">
        <f aca="false">IF(OR(AND(G23=1,G24=0,G26=0),AND(G23=0,G24=1,G26=0),AND(G23=1,G24=1,G26=0)),1,0)</f>
        <v>0</v>
      </c>
      <c r="H28" s="13"/>
      <c r="I28" s="14" t="s">
        <v>53</v>
      </c>
      <c r="J28" s="14"/>
      <c r="K28" s="13" t="n">
        <f aca="false">IF(MOD(SUM(V26:Y26),2)=0,1,0)</f>
        <v>1</v>
      </c>
      <c r="L28" s="13"/>
      <c r="M28" s="14" t="s">
        <v>54</v>
      </c>
      <c r="N28" s="14"/>
      <c r="O28" s="13" t="n">
        <f aca="false">IF(OR(AND(V23=1,V24=0,V26=0),AND(V23=0,V24=1,V26=0),AND(V23=1,V24=1,V26=0)),1,0)</f>
        <v>0</v>
      </c>
      <c r="P28" s="13"/>
      <c r="Q28" s="14" t="s">
        <v>55</v>
      </c>
      <c r="R28" s="14"/>
      <c r="S28" s="13" t="n">
        <f aca="false">IF(SUM(G26:Y26)=0,1,0)</f>
        <v>0</v>
      </c>
      <c r="T28" s="13"/>
      <c r="U28" s="14" t="s">
        <v>56</v>
      </c>
      <c r="V28" s="14"/>
      <c r="W28" s="13" t="n">
        <f aca="false">G26</f>
        <v>0</v>
      </c>
      <c r="X28" s="13"/>
      <c r="Y28" s="14" t="s">
        <v>57</v>
      </c>
      <c r="Z28" s="14"/>
      <c r="AA28" s="13" t="n">
        <f aca="false">IF(OR(AND(G23=0,G24=0,OR(G26=1,S28=1)),AND(G23=1,G24=1,OR(G26=0,S28=1))),1,0)</f>
        <v>0</v>
      </c>
      <c r="AB28" s="13"/>
      <c r="AC28" s="13"/>
      <c r="AD28" s="13"/>
      <c r="AE28" s="13"/>
      <c r="AF28" s="13"/>
      <c r="AG28" s="13"/>
      <c r="AH28" s="13"/>
      <c r="AI28" s="13"/>
      <c r="AJ28" s="13"/>
      <c r="AK28" s="15"/>
      <c r="AP28" s="11"/>
      <c r="AQ28" s="11"/>
      <c r="AR28" s="11"/>
      <c r="AS28" s="11"/>
      <c r="AT28" s="11"/>
    </row>
    <row r="29" customFormat="false" ht="13.8" hidden="false" customHeight="false" outlineLevel="0" collapsed="false">
      <c r="AP29" s="11"/>
      <c r="AQ29" s="11"/>
      <c r="AR29" s="11"/>
      <c r="AS29" s="11"/>
      <c r="AT29" s="11"/>
    </row>
    <row r="30" customFormat="false" ht="13.8" hidden="false" customHeight="false" outlineLevel="0" collapsed="false">
      <c r="E30" s="5"/>
      <c r="F30" s="6" t="s">
        <v>47</v>
      </c>
      <c r="G30" s="6" t="n">
        <f aca="false">G5</f>
        <v>0</v>
      </c>
      <c r="H30" s="6" t="n">
        <f aca="false">H5</f>
        <v>1</v>
      </c>
      <c r="I30" s="6" t="n">
        <f aca="false">I5</f>
        <v>0</v>
      </c>
      <c r="J30" s="6" t="n">
        <f aca="false">J5</f>
        <v>1</v>
      </c>
      <c r="K30" s="6" t="str">
        <f aca="false">K5</f>
        <v>.</v>
      </c>
      <c r="L30" s="6" t="n">
        <f aca="false">L5</f>
        <v>1</v>
      </c>
      <c r="M30" s="6" t="n">
        <f aca="false">M5</f>
        <v>0</v>
      </c>
      <c r="N30" s="6" t="n">
        <f aca="false">N5</f>
        <v>1</v>
      </c>
      <c r="O30" s="6" t="n">
        <f aca="false">O5</f>
        <v>1</v>
      </c>
      <c r="P30" s="6" t="str">
        <f aca="false">P5</f>
        <v>.</v>
      </c>
      <c r="Q30" s="6" t="n">
        <f aca="false">Q5</f>
        <v>0</v>
      </c>
      <c r="R30" s="6" t="n">
        <f aca="false">R5</f>
        <v>1</v>
      </c>
      <c r="S30" s="6" t="n">
        <f aca="false">S5</f>
        <v>0</v>
      </c>
      <c r="T30" s="6" t="n">
        <f aca="false">T5</f>
        <v>0</v>
      </c>
      <c r="U30" s="6" t="str">
        <f aca="false">U5</f>
        <v>.</v>
      </c>
      <c r="V30" s="6" t="n">
        <f aca="false">V5</f>
        <v>0</v>
      </c>
      <c r="W30" s="6" t="n">
        <f aca="false">W5</f>
        <v>1</v>
      </c>
      <c r="X30" s="6" t="n">
        <f aca="false">X5</f>
        <v>1</v>
      </c>
      <c r="Y30" s="6" t="n">
        <f aca="false">Y5</f>
        <v>0</v>
      </c>
      <c r="Z30" s="6"/>
      <c r="AA30" s="6"/>
      <c r="AB30" s="6"/>
      <c r="AC30" s="6"/>
      <c r="AD30" s="6" t="s">
        <v>48</v>
      </c>
      <c r="AE30" s="6" t="n">
        <f aca="false">C5</f>
        <v>23366</v>
      </c>
      <c r="AF30" s="6"/>
      <c r="AG30" s="16" t="str">
        <f aca="false">IF(AA33=AE33,IF(OR(AND(G30=1,G31=0,G33=0),AND(G30=0,G31=1,G33=0)),$AP$27,$AP$23),IF(AND(G30=0,G31=0,G33=1),$AP$31,$AP$35))</f>
        <v>При сложении положительных чисел
получен отрицательный результат -
ПЕРЕПОЛНЕНИЕ</v>
      </c>
      <c r="AH30" s="16"/>
      <c r="AI30" s="16"/>
      <c r="AJ30" s="16"/>
      <c r="AK30" s="16"/>
      <c r="AP30" s="11"/>
      <c r="AQ30" s="11"/>
      <c r="AR30" s="11"/>
      <c r="AS30" s="11"/>
      <c r="AT30" s="11"/>
    </row>
    <row r="31" customFormat="false" ht="13.8" hidden="false" customHeight="true" outlineLevel="0" collapsed="false">
      <c r="E31" s="9" t="s">
        <v>46</v>
      </c>
      <c r="F31" s="1" t="s">
        <v>58</v>
      </c>
      <c r="G31" s="1" t="n">
        <f aca="false">G6</f>
        <v>0</v>
      </c>
      <c r="H31" s="1" t="n">
        <f aca="false">H6</f>
        <v>1</v>
      </c>
      <c r="I31" s="1" t="n">
        <f aca="false">I6</f>
        <v>1</v>
      </c>
      <c r="J31" s="1" t="n">
        <f aca="false">J6</f>
        <v>0</v>
      </c>
      <c r="K31" s="1" t="str">
        <f aca="false">K6</f>
        <v>.</v>
      </c>
      <c r="L31" s="1" t="n">
        <f aca="false">L6</f>
        <v>0</v>
      </c>
      <c r="M31" s="1" t="n">
        <f aca="false">M6</f>
        <v>0</v>
      </c>
      <c r="N31" s="1" t="n">
        <f aca="false">N6</f>
        <v>0</v>
      </c>
      <c r="O31" s="1" t="n">
        <f aca="false">O6</f>
        <v>1</v>
      </c>
      <c r="P31" s="1" t="str">
        <f aca="false">P6</f>
        <v>.</v>
      </c>
      <c r="Q31" s="1" t="n">
        <f aca="false">Q6</f>
        <v>0</v>
      </c>
      <c r="R31" s="1" t="n">
        <f aca="false">R6</f>
        <v>1</v>
      </c>
      <c r="S31" s="1" t="n">
        <f aca="false">S6</f>
        <v>1</v>
      </c>
      <c r="T31" s="1" t="n">
        <f aca="false">T6</f>
        <v>1</v>
      </c>
      <c r="U31" s="1" t="str">
        <f aca="false">U6</f>
        <v>.</v>
      </c>
      <c r="V31" s="1" t="n">
        <f aca="false">V6</f>
        <v>1</v>
      </c>
      <c r="W31" s="1" t="n">
        <f aca="false">W6</f>
        <v>0</v>
      </c>
      <c r="X31" s="1" t="n">
        <f aca="false">X6</f>
        <v>0</v>
      </c>
      <c r="Y31" s="1" t="n">
        <f aca="false">Y6</f>
        <v>1</v>
      </c>
      <c r="AC31" s="1" t="s">
        <v>46</v>
      </c>
      <c r="AD31" s="1" t="s">
        <v>59</v>
      </c>
      <c r="AE31" s="1" t="n">
        <f aca="false">C6</f>
        <v>24953</v>
      </c>
      <c r="AG31" s="16"/>
      <c r="AH31" s="16"/>
      <c r="AI31" s="16"/>
      <c r="AJ31" s="16"/>
      <c r="AK31" s="16"/>
      <c r="AP31" s="11" t="s">
        <v>60</v>
      </c>
      <c r="AQ31" s="11"/>
      <c r="AR31" s="11"/>
      <c r="AS31" s="11"/>
      <c r="AT31" s="11"/>
    </row>
    <row r="32" customFormat="false" ht="13.8" hidden="false" customHeight="false" outlineLevel="0" collapsed="false">
      <c r="E32" s="9"/>
      <c r="F32" s="1" t="s">
        <v>49</v>
      </c>
      <c r="G32" s="1" t="s">
        <v>49</v>
      </c>
      <c r="H32" s="1" t="s">
        <v>49</v>
      </c>
      <c r="I32" s="1" t="s">
        <v>49</v>
      </c>
      <c r="J32" s="1" t="s">
        <v>49</v>
      </c>
      <c r="K32" s="1" t="s">
        <v>49</v>
      </c>
      <c r="L32" s="1" t="s">
        <v>49</v>
      </c>
      <c r="M32" s="1" t="s">
        <v>49</v>
      </c>
      <c r="N32" s="1" t="s">
        <v>49</v>
      </c>
      <c r="O32" s="1" t="s">
        <v>49</v>
      </c>
      <c r="P32" s="1" t="s">
        <v>49</v>
      </c>
      <c r="Q32" s="1" t="s">
        <v>49</v>
      </c>
      <c r="R32" s="1" t="s">
        <v>49</v>
      </c>
      <c r="S32" s="1" t="s">
        <v>49</v>
      </c>
      <c r="T32" s="1" t="s">
        <v>49</v>
      </c>
      <c r="U32" s="1" t="s">
        <v>49</v>
      </c>
      <c r="V32" s="1" t="s">
        <v>49</v>
      </c>
      <c r="W32" s="1" t="s">
        <v>49</v>
      </c>
      <c r="X32" s="1" t="s">
        <v>49</v>
      </c>
      <c r="Y32" s="1" t="s">
        <v>49</v>
      </c>
      <c r="AD32" s="1" t="s">
        <v>49</v>
      </c>
      <c r="AE32" s="1" t="s">
        <v>49</v>
      </c>
      <c r="AG32" s="16"/>
      <c r="AH32" s="16"/>
      <c r="AI32" s="16"/>
      <c r="AJ32" s="16"/>
      <c r="AK32" s="16"/>
      <c r="AP32" s="11"/>
      <c r="AQ32" s="11"/>
      <c r="AR32" s="11"/>
      <c r="AS32" s="11"/>
      <c r="AT32" s="11"/>
    </row>
    <row r="33" customFormat="false" ht="13.8" hidden="false" customHeight="false" outlineLevel="0" collapsed="false">
      <c r="E33" s="9"/>
      <c r="G33" s="1" t="n">
        <f aca="false">MOD(G30+G31+IF(OR(AND(H30=1,H31=1),AND(H30=1,H31=0,H33=0),AND(H30=0,H31=1,H33=0)),1,0),2)</f>
        <v>1</v>
      </c>
      <c r="H33" s="1" t="n">
        <f aca="false">MOD(H30+H31+IF(OR(AND(I30=1,I31=1),AND(I30=1,I31=0,I33=0),AND(I30=0,I31=1,I33=0)),1,0),2)</f>
        <v>0</v>
      </c>
      <c r="I33" s="1" t="n">
        <f aca="false">MOD(I30+I31+IF(OR(AND(J30=1,J31=1),AND(J30=1,J31=0,J33=0),AND(J30=0,J31=1,J33=0)),1,0),2)</f>
        <v>1</v>
      </c>
      <c r="J33" s="1" t="n">
        <f aca="false">MOD(J30+J31+IF(OR(AND(L30=1,L31=1),AND(L30=1,L31=0,L33=0),AND(L30=0,L31=1,L33=0)),1,0),2)</f>
        <v>1</v>
      </c>
      <c r="K33" s="1" t="s">
        <v>4</v>
      </c>
      <c r="L33" s="1" t="n">
        <f aca="false">MOD(L30+L31+IF(OR(AND(M30=1,M31=1),AND(M30=1,M31=0,M33=0),AND(M30=0,M31=1,M33=0)),1,0),2)</f>
        <v>1</v>
      </c>
      <c r="M33" s="1" t="n">
        <f aca="false">MOD(M30+M31+IF(OR(AND(N30=1,N31=1),AND(N30=1,N31=0,N33=0),AND(N30=0,N31=1,N33=0)),1,0),2)</f>
        <v>1</v>
      </c>
      <c r="N33" s="1" t="n">
        <f aca="false">MOD(N30+N31+IF(OR(AND(O30=1,O31=1),AND(O30=1,O31=0,O33=0),AND(O30=0,O31=1,O33=0)),1,0),2)</f>
        <v>0</v>
      </c>
      <c r="O33" s="1" t="n">
        <f aca="false">MOD(O30+O31+IF(OR(AND(Q30=1,Q31=1),AND(Q30=1,Q31=0,Q33=0),AND(Q30=0,Q31=1,Q33=0)),1,0),2)</f>
        <v>0</v>
      </c>
      <c r="P33" s="1" t="s">
        <v>4</v>
      </c>
      <c r="Q33" s="1" t="n">
        <f aca="false">MOD(Q30+Q31+IF(OR(AND(R30=1,R31=1),AND(R30=1,R31=0,R33=0),AND(R30=0,R31=1,R33=0)),1,0),2)</f>
        <v>1</v>
      </c>
      <c r="R33" s="1" t="n">
        <f aca="false">MOD(R30+R31+IF(OR(AND(S30=1,S31=1),AND(S30=1,S31=0,S33=0),AND(S30=0,S31=1,S33=0)),1,0),2)</f>
        <v>0</v>
      </c>
      <c r="S33" s="1" t="n">
        <f aca="false">MOD(S30+S31+IF(OR(AND(T30=1,T31=1),AND(T30=1,T31=0,T33=0),AND(T30=0,T31=1,T33=0)),1,0),2)</f>
        <v>1</v>
      </c>
      <c r="T33" s="1" t="n">
        <f aca="false">MOD(T30+T31+IF(OR(AND(V30=1,V31=1),AND(V30=1,V31=0,V33=0),AND(V30=0,V31=1,V33=0)),1,0),2)</f>
        <v>1</v>
      </c>
      <c r="U33" s="1" t="s">
        <v>4</v>
      </c>
      <c r="V33" s="1" t="n">
        <f aca="false">MOD(V30+V31+IF(OR(AND(W30=1,W31=1),AND(W30=1,W31=0,W33=0),AND(W30=0,W31=1,W33=0)),1,0),2)</f>
        <v>1</v>
      </c>
      <c r="W33" s="1" t="n">
        <f aca="false">MOD(W30+W31+IF(OR(AND(X30=1,X31=1),AND(X30=1,X31=0,X33=0),AND(X30=0,X31=1,X33=0)),1,0),2)</f>
        <v>1</v>
      </c>
      <c r="X33" s="1" t="n">
        <f aca="false">MOD(X30+X31+IF(OR(AND(Y30=1,Y31=1),AND(Y30=1,Y31=0,Y33=0),AND(Y30=0,Y31=1,Y33=0)),1,0),2)</f>
        <v>1</v>
      </c>
      <c r="Y33" s="1" t="n">
        <f aca="false">MOD(Y30+Y31+IF(OR(AND(Z27=1,Z28=1),AND(Z27=1,Z28=0,Z30=0),AND(Z27=0,Z28=1,Z30=0)),1,0),2)</f>
        <v>1</v>
      </c>
      <c r="Z33" s="1" t="s">
        <v>50</v>
      </c>
      <c r="AA33" s="1" t="n">
        <f aca="false">IF(G33=1,
-(MOD(H33+1,2)*2^14+MOD(I33+1,2)*2^13+MOD(J33+1,2)*2^12+MOD(L33+1,2)*2^11+MOD(M33+1,2)*2^10+MOD(N33+1,2)*2^9+MOD(O33+1,2)*2^8+MOD(Q33+1,2)*2^7+MOD(R33+1,2)*2^6 + MOD(S33+1,2)*2^5+MOD(T33+1,2)*2^4+MOD(V33+1,2)*2^3+MOD(W33+1,2)*2^2+MOD(X33+1,2)*2^1+MOD(Y33+1,2)*2^0 + 1),
(H33*2^14+I33*2^13+J33*2^12+L33*2^11+M33*2^10+N33*2^9+O33*2^8+Q33*2^7+R33*2^6 + S33*2^5+T33*2^4+V33*2^3+W33*2^2+X33*2^1+Y33*2^0))</f>
        <v>-17217</v>
      </c>
      <c r="AE33" s="1" t="n">
        <f aca="false">AE30+AE31</f>
        <v>48319</v>
      </c>
      <c r="AG33" s="16"/>
      <c r="AH33" s="16"/>
      <c r="AI33" s="16"/>
      <c r="AJ33" s="16"/>
      <c r="AK33" s="16"/>
      <c r="AP33" s="11"/>
      <c r="AQ33" s="11"/>
      <c r="AR33" s="11"/>
      <c r="AS33" s="11"/>
      <c r="AT33" s="11"/>
    </row>
    <row r="34" customFormat="false" ht="13.8" hidden="false" customHeight="false" outlineLevel="0" collapsed="false">
      <c r="E34" s="9"/>
      <c r="AK34" s="10"/>
      <c r="AP34" s="11"/>
      <c r="AQ34" s="11"/>
      <c r="AR34" s="11"/>
      <c r="AS34" s="11"/>
      <c r="AT34" s="11"/>
    </row>
    <row r="35" customFormat="false" ht="13.8" hidden="false" customHeight="true" outlineLevel="0" collapsed="false">
      <c r="E35" s="12" t="s">
        <v>52</v>
      </c>
      <c r="F35" s="12"/>
      <c r="G35" s="13" t="n">
        <f aca="false">IF(OR(AND(G30=1,G31=0,G33=0),AND(G30=0,G31=1,G33=0),AND(G30=1,G31=1,G33=0)),1,0)</f>
        <v>0</v>
      </c>
      <c r="H35" s="13"/>
      <c r="I35" s="14" t="s">
        <v>53</v>
      </c>
      <c r="J35" s="14"/>
      <c r="K35" s="13" t="n">
        <f aca="false">IF(MOD(SUM(V33:Y33),2)=0,1,0)</f>
        <v>1</v>
      </c>
      <c r="L35" s="13"/>
      <c r="M35" s="14" t="s">
        <v>54</v>
      </c>
      <c r="N35" s="14"/>
      <c r="O35" s="13" t="n">
        <f aca="false">IF(OR(AND(V30=1,V31=0,V33=0),AND(V30=0,V31=1,V33=0),AND(V30=1,V31=1,V33=0)),1,0)</f>
        <v>0</v>
      </c>
      <c r="P35" s="13"/>
      <c r="Q35" s="14" t="s">
        <v>55</v>
      </c>
      <c r="R35" s="14"/>
      <c r="S35" s="13" t="n">
        <f aca="false">IF(SUM(G33:Y33)=0,1,0)</f>
        <v>0</v>
      </c>
      <c r="T35" s="13"/>
      <c r="U35" s="14" t="s">
        <v>56</v>
      </c>
      <c r="V35" s="14"/>
      <c r="W35" s="13" t="n">
        <f aca="false">G33</f>
        <v>1</v>
      </c>
      <c r="X35" s="13"/>
      <c r="Y35" s="14" t="s">
        <v>57</v>
      </c>
      <c r="Z35" s="14"/>
      <c r="AA35" s="13" t="n">
        <f aca="false">IF(OR(AND(G30=0,G31=0,OR(G33=1,S35=1)),AND(G30=1,G31=1,OR(G33=0,S35=1))),1,0)</f>
        <v>1</v>
      </c>
      <c r="AB35" s="13"/>
      <c r="AC35" s="13"/>
      <c r="AD35" s="13"/>
      <c r="AE35" s="13"/>
      <c r="AF35" s="13"/>
      <c r="AG35" s="13"/>
      <c r="AH35" s="13"/>
      <c r="AI35" s="13"/>
      <c r="AJ35" s="13"/>
      <c r="AK35" s="15"/>
      <c r="AP35" s="11" t="s">
        <v>61</v>
      </c>
      <c r="AQ35" s="11"/>
      <c r="AR35" s="11"/>
      <c r="AS35" s="11"/>
      <c r="AT35" s="11"/>
    </row>
    <row r="36" customFormat="false" ht="13.8" hidden="false" customHeight="false" outlineLevel="0" collapsed="false">
      <c r="AP36" s="11"/>
      <c r="AQ36" s="11"/>
      <c r="AR36" s="11"/>
      <c r="AS36" s="11"/>
      <c r="AT36" s="11"/>
    </row>
    <row r="37" customFormat="false" ht="13.8" hidden="false" customHeight="false" outlineLevel="0" collapsed="false">
      <c r="E37" s="5"/>
      <c r="F37" s="6" t="s">
        <v>47</v>
      </c>
      <c r="G37" s="6" t="n">
        <f aca="false">G5</f>
        <v>0</v>
      </c>
      <c r="H37" s="6" t="n">
        <f aca="false">H5</f>
        <v>1</v>
      </c>
      <c r="I37" s="6" t="n">
        <f aca="false">I5</f>
        <v>0</v>
      </c>
      <c r="J37" s="6" t="n">
        <f aca="false">J5</f>
        <v>1</v>
      </c>
      <c r="K37" s="6" t="str">
        <f aca="false">K5</f>
        <v>.</v>
      </c>
      <c r="L37" s="6" t="n">
        <f aca="false">L5</f>
        <v>1</v>
      </c>
      <c r="M37" s="6" t="n">
        <f aca="false">M5</f>
        <v>0</v>
      </c>
      <c r="N37" s="6" t="n">
        <f aca="false">N5</f>
        <v>1</v>
      </c>
      <c r="O37" s="6" t="n">
        <f aca="false">O5</f>
        <v>1</v>
      </c>
      <c r="P37" s="6" t="str">
        <f aca="false">P5</f>
        <v>.</v>
      </c>
      <c r="Q37" s="6" t="n">
        <f aca="false">Q5</f>
        <v>0</v>
      </c>
      <c r="R37" s="6" t="n">
        <f aca="false">R5</f>
        <v>1</v>
      </c>
      <c r="S37" s="6" t="n">
        <f aca="false">S5</f>
        <v>0</v>
      </c>
      <c r="T37" s="6" t="n">
        <f aca="false">T5</f>
        <v>0</v>
      </c>
      <c r="U37" s="6" t="str">
        <f aca="false">U5</f>
        <v>.</v>
      </c>
      <c r="V37" s="6" t="n">
        <f aca="false">V5</f>
        <v>0</v>
      </c>
      <c r="W37" s="6" t="n">
        <f aca="false">W5</f>
        <v>1</v>
      </c>
      <c r="X37" s="6" t="n">
        <f aca="false">X5</f>
        <v>1</v>
      </c>
      <c r="Y37" s="6" t="n">
        <f aca="false">Y5</f>
        <v>0</v>
      </c>
      <c r="Z37" s="6"/>
      <c r="AA37" s="6"/>
      <c r="AB37" s="6"/>
      <c r="AC37" s="6"/>
      <c r="AD37" s="6" t="s">
        <v>48</v>
      </c>
      <c r="AE37" s="6" t="n">
        <f aca="false">C5</f>
        <v>23366</v>
      </c>
      <c r="AF37" s="6"/>
      <c r="AG37" s="16" t="str">
        <f aca="false">IF(AA40=AE40,IF(OR(AND(G37=1,G38=0,G40=0),AND(G37=0,G38=1,G40=0)),$AP$27,$AP$23),IF(AND(G37=0,G38=0,G40=1),$AP$31,$AP$35))</f>
        <v>Результат корректный.
Перенос из старшего разряда не учитывается</v>
      </c>
      <c r="AH37" s="16"/>
      <c r="AI37" s="16"/>
      <c r="AJ37" s="16"/>
      <c r="AK37" s="16"/>
      <c r="AP37" s="11"/>
      <c r="AQ37" s="11"/>
      <c r="AR37" s="11"/>
      <c r="AS37" s="11"/>
      <c r="AT37" s="11"/>
    </row>
    <row r="38" customFormat="false" ht="13.8" hidden="false" customHeight="false" outlineLevel="0" collapsed="false">
      <c r="E38" s="9" t="s">
        <v>46</v>
      </c>
      <c r="F38" s="1" t="s">
        <v>62</v>
      </c>
      <c r="G38" s="1" t="n">
        <f aca="false">G10</f>
        <v>1</v>
      </c>
      <c r="H38" s="1" t="n">
        <f aca="false">H10</f>
        <v>1</v>
      </c>
      <c r="I38" s="1" t="n">
        <f aca="false">I10</f>
        <v>1</v>
      </c>
      <c r="J38" s="1" t="n">
        <f aca="false">J10</f>
        <v>1</v>
      </c>
      <c r="K38" s="1" t="str">
        <f aca="false">K10</f>
        <v>.</v>
      </c>
      <c r="L38" s="1" t="n">
        <f aca="false">L10</f>
        <v>1</v>
      </c>
      <c r="M38" s="1" t="n">
        <f aca="false">M10</f>
        <v>0</v>
      </c>
      <c r="N38" s="1" t="n">
        <f aca="false">N10</f>
        <v>0</v>
      </c>
      <c r="O38" s="1" t="n">
        <f aca="false">O10</f>
        <v>1</v>
      </c>
      <c r="P38" s="1" t="str">
        <f aca="false">P10</f>
        <v>.</v>
      </c>
      <c r="Q38" s="1" t="n">
        <f aca="false">Q10</f>
        <v>1</v>
      </c>
      <c r="R38" s="1" t="n">
        <f aca="false">R10</f>
        <v>1</v>
      </c>
      <c r="S38" s="1" t="n">
        <f aca="false">S10</f>
        <v>0</v>
      </c>
      <c r="T38" s="1" t="n">
        <f aca="false">T10</f>
        <v>0</v>
      </c>
      <c r="U38" s="1" t="str">
        <f aca="false">U10</f>
        <v>.</v>
      </c>
      <c r="V38" s="1" t="n">
        <f aca="false">V10</f>
        <v>1</v>
      </c>
      <c r="W38" s="1" t="n">
        <f aca="false">W10</f>
        <v>1</v>
      </c>
      <c r="X38" s="1" t="n">
        <f aca="false">X10</f>
        <v>0</v>
      </c>
      <c r="Y38" s="1" t="n">
        <f aca="false">Y10</f>
        <v>1</v>
      </c>
      <c r="AC38" s="1" t="s">
        <v>46</v>
      </c>
      <c r="AD38" s="1" t="s">
        <v>63</v>
      </c>
      <c r="AE38" s="1" t="n">
        <f aca="false">C10</f>
        <v>-1587</v>
      </c>
      <c r="AG38" s="16"/>
      <c r="AH38" s="16"/>
      <c r="AI38" s="16"/>
      <c r="AJ38" s="16"/>
      <c r="AK38" s="16"/>
      <c r="AP38" s="11"/>
      <c r="AQ38" s="11"/>
      <c r="AR38" s="11"/>
      <c r="AS38" s="11"/>
      <c r="AT38" s="11"/>
    </row>
    <row r="39" customFormat="false" ht="13.8" hidden="false" customHeight="false" outlineLevel="0" collapsed="false">
      <c r="E39" s="9"/>
      <c r="F39" s="1" t="s">
        <v>49</v>
      </c>
      <c r="G39" s="1" t="s">
        <v>49</v>
      </c>
      <c r="H39" s="1" t="s">
        <v>49</v>
      </c>
      <c r="I39" s="1" t="s">
        <v>49</v>
      </c>
      <c r="J39" s="1" t="s">
        <v>49</v>
      </c>
      <c r="K39" s="1" t="s">
        <v>49</v>
      </c>
      <c r="L39" s="1" t="s">
        <v>49</v>
      </c>
      <c r="M39" s="1" t="s">
        <v>49</v>
      </c>
      <c r="N39" s="1" t="s">
        <v>49</v>
      </c>
      <c r="O39" s="1" t="s">
        <v>49</v>
      </c>
      <c r="P39" s="1" t="s">
        <v>49</v>
      </c>
      <c r="Q39" s="1" t="s">
        <v>49</v>
      </c>
      <c r="R39" s="1" t="s">
        <v>49</v>
      </c>
      <c r="S39" s="1" t="s">
        <v>49</v>
      </c>
      <c r="T39" s="1" t="s">
        <v>49</v>
      </c>
      <c r="U39" s="1" t="s">
        <v>49</v>
      </c>
      <c r="V39" s="1" t="s">
        <v>49</v>
      </c>
      <c r="W39" s="1" t="s">
        <v>49</v>
      </c>
      <c r="X39" s="1" t="s">
        <v>49</v>
      </c>
      <c r="Y39" s="1" t="s">
        <v>49</v>
      </c>
      <c r="AD39" s="1" t="s">
        <v>49</v>
      </c>
      <c r="AE39" s="1" t="s">
        <v>49</v>
      </c>
      <c r="AG39" s="16"/>
      <c r="AH39" s="16"/>
      <c r="AI39" s="16"/>
      <c r="AJ39" s="16"/>
      <c r="AK39" s="16"/>
    </row>
    <row r="40" customFormat="false" ht="13.8" hidden="false" customHeight="false" outlineLevel="0" collapsed="false">
      <c r="E40" s="9"/>
      <c r="G40" s="1" t="n">
        <f aca="false">MOD(G37+G38+IF(OR(AND(H37=1,H38=1),AND(H37=1,H38=0,H40=0),AND(H37=0,H38=1,H40=0)),1,0),2)</f>
        <v>0</v>
      </c>
      <c r="H40" s="1" t="n">
        <f aca="false">MOD(H37+H38+IF(OR(AND(I37=1,I38=1),AND(I37=1,I38=0,I40=0),AND(I37=0,I38=1,I40=0)),1,0),2)</f>
        <v>1</v>
      </c>
      <c r="I40" s="1" t="n">
        <f aca="false">MOD(I37+I38+IF(OR(AND(J37=1,J38=1),AND(J37=1,J38=0,J40=0),AND(J37=0,J38=1,J40=0)),1,0),2)</f>
        <v>0</v>
      </c>
      <c r="J40" s="1" t="n">
        <f aca="false">MOD(J37+J38+IF(OR(AND(L37=1,L38=1),AND(L37=1,L38=0,L40=0),AND(L37=0,L38=1,L40=0)),1,0),2)</f>
        <v>1</v>
      </c>
      <c r="K40" s="1" t="s">
        <v>4</v>
      </c>
      <c r="L40" s="1" t="n">
        <f aca="false">MOD(L37+L38+IF(OR(AND(M37=1,M38=1),AND(M37=1,M38=0,M40=0),AND(M37=0,M38=1,M40=0)),1,0),2)</f>
        <v>0</v>
      </c>
      <c r="M40" s="1" t="n">
        <f aca="false">MOD(M37+M38+IF(OR(AND(N37=1,N38=1),AND(N37=1,N38=0,N40=0),AND(N37=0,N38=1,N40=0)),1,0),2)</f>
        <v>1</v>
      </c>
      <c r="N40" s="1" t="n">
        <f aca="false">MOD(N37+N38+IF(OR(AND(O37=1,O38=1),AND(O37=1,O38=0,O40=0),AND(O37=0,O38=1,O40=0)),1,0),2)</f>
        <v>0</v>
      </c>
      <c r="O40" s="1" t="n">
        <f aca="false">MOD(O37+O38+IF(OR(AND(Q37=1,Q38=1),AND(Q37=1,Q38=0,Q40=0),AND(Q37=0,Q38=1,Q40=0)),1,0),2)</f>
        <v>1</v>
      </c>
      <c r="P40" s="1" t="s">
        <v>4</v>
      </c>
      <c r="Q40" s="1" t="n">
        <f aca="false">MOD(Q37+Q38+IF(OR(AND(R37=1,R38=1),AND(R37=1,R38=0,R40=0),AND(R37=0,R38=1,R40=0)),1,0),2)</f>
        <v>0</v>
      </c>
      <c r="R40" s="1" t="n">
        <f aca="false">MOD(R37+R38+IF(OR(AND(S37=1,S38=1),AND(S37=1,S38=0,S40=0),AND(S37=0,S38=1,S40=0)),1,0),2)</f>
        <v>0</v>
      </c>
      <c r="S40" s="1" t="n">
        <f aca="false">MOD(S37+S38+IF(OR(AND(T37=1,T38=1),AND(T37=1,T38=0,T40=0),AND(T37=0,T38=1,T40=0)),1,0),2)</f>
        <v>0</v>
      </c>
      <c r="T40" s="1" t="n">
        <f aca="false">MOD(T37+T38+IF(OR(AND(V37=1,V38=1),AND(V37=1,V38=0,V40=0),AND(V37=0,V38=1,V40=0)),1,0),2)</f>
        <v>1</v>
      </c>
      <c r="U40" s="1" t="s">
        <v>4</v>
      </c>
      <c r="V40" s="1" t="n">
        <f aca="false">MOD(V37+V38+IF(OR(AND(W37=1,W38=1),AND(W37=1,W38=0,W40=0),AND(W37=0,W38=1,W40=0)),1,0),2)</f>
        <v>0</v>
      </c>
      <c r="W40" s="1" t="n">
        <f aca="false">MOD(W37+W38+IF(OR(AND(X37=1,X38=1),AND(X37=1,X38=0,X40=0),AND(X37=0,X38=1,X40=0)),1,0),2)</f>
        <v>0</v>
      </c>
      <c r="X40" s="1" t="n">
        <f aca="false">MOD(X37+X38+IF(OR(AND(Y37=1,Y38=1),AND(Y37=1,Y38=0,Y40=0),AND(Y37=0,Y38=1,Y40=0)),1,0),2)</f>
        <v>1</v>
      </c>
      <c r="Y40" s="1" t="n">
        <f aca="false">MOD(Y37+Y38+IF(OR(AND(Z31=1,Z32=1),AND(Z31=1,Z32=0,Z34=0),AND(Z31=0,Z32=1,Z34=0)),1,0),2)</f>
        <v>1</v>
      </c>
      <c r="Z40" s="1" t="s">
        <v>50</v>
      </c>
      <c r="AA40" s="1" t="n">
        <f aca="false">IF(G40=1,
-(MOD(H40+1,2)*2^14+MOD(I40+1,2)*2^13+MOD(J40+1,2)*2^12+MOD(L40+1,2)*2^11+MOD(M40+1,2)*2^10+MOD(N40+1,2)*2^9+MOD(O40+1,2)*2^8+MOD(Q40+1,2)*2^7+MOD(R40+1,2)*2^6 + MOD(S40+1,2)*2^5+MOD(T40+1,2)*2^4+MOD(V40+1,2)*2^3+MOD(W40+1,2)*2^2+MOD(X40+1,2)*2^1+MOD(Y40+1,2)*2^0 + 1),
(H40*2^14+I40*2^13+J40*2^12+L40*2^11+M40*2^10+N40*2^9+O40*2^8+Q40*2^7+R40*2^6 + S40*2^5+T40*2^4+V40*2^3+W40*2^2+X40*2^1+Y40*2^0))</f>
        <v>21779</v>
      </c>
      <c r="AE40" s="1" t="n">
        <f aca="false">AE37+AE38</f>
        <v>21779</v>
      </c>
      <c r="AG40" s="16"/>
      <c r="AH40" s="16"/>
      <c r="AI40" s="16"/>
      <c r="AJ40" s="16"/>
      <c r="AK40" s="16"/>
    </row>
    <row r="41" customFormat="false" ht="13.8" hidden="false" customHeight="false" outlineLevel="0" collapsed="false">
      <c r="E41" s="9"/>
      <c r="AK41" s="10"/>
    </row>
    <row r="42" customFormat="false" ht="13.8" hidden="false" customHeight="false" outlineLevel="0" collapsed="false">
      <c r="E42" s="12" t="s">
        <v>52</v>
      </c>
      <c r="F42" s="12"/>
      <c r="G42" s="13" t="n">
        <f aca="false">IF(OR(AND(G37=1,G38=0,G40=0),AND(G37=0,G38=1,G40=0),AND(G37=1,G38=1,G40=0)),1,0)</f>
        <v>1</v>
      </c>
      <c r="H42" s="13"/>
      <c r="I42" s="14" t="s">
        <v>53</v>
      </c>
      <c r="J42" s="14"/>
      <c r="K42" s="13" t="n">
        <f aca="false">IF(MOD(SUM(V40:Y40),2)=0,1,0)</f>
        <v>1</v>
      </c>
      <c r="L42" s="13"/>
      <c r="M42" s="14" t="s">
        <v>54</v>
      </c>
      <c r="N42" s="14"/>
      <c r="O42" s="13" t="n">
        <f aca="false">IF(OR(AND(V37=1,V38=0,V40=0),AND(V37=0,V38=1,V40=0),AND(V37=1,V38=1,V40=0)),1,0)</f>
        <v>1</v>
      </c>
      <c r="P42" s="13"/>
      <c r="Q42" s="14" t="s">
        <v>55</v>
      </c>
      <c r="R42" s="14"/>
      <c r="S42" s="13" t="n">
        <f aca="false">IF(SUM(G40:Y40)=0,1,0)</f>
        <v>0</v>
      </c>
      <c r="T42" s="13"/>
      <c r="U42" s="14" t="s">
        <v>56</v>
      </c>
      <c r="V42" s="14"/>
      <c r="W42" s="13" t="n">
        <f aca="false">G40</f>
        <v>0</v>
      </c>
      <c r="X42" s="13"/>
      <c r="Y42" s="14" t="s">
        <v>57</v>
      </c>
      <c r="Z42" s="14"/>
      <c r="AA42" s="13" t="n">
        <f aca="false">IF(OR(AND(G37=0,G38=0,OR(G40=1,S42=1)),AND(G37=1,G38=1,OR(G40=0,S42=1))),1,0)</f>
        <v>0</v>
      </c>
      <c r="AB42" s="13"/>
      <c r="AC42" s="13"/>
      <c r="AD42" s="13"/>
      <c r="AE42" s="13"/>
      <c r="AF42" s="13"/>
      <c r="AG42" s="13"/>
      <c r="AH42" s="13"/>
      <c r="AI42" s="13"/>
      <c r="AJ42" s="13"/>
      <c r="AK42" s="15"/>
    </row>
    <row r="44" customFormat="false" ht="13.8" hidden="false" customHeight="false" outlineLevel="0" collapsed="false">
      <c r="E44" s="5"/>
      <c r="F44" s="6" t="s">
        <v>62</v>
      </c>
      <c r="G44" s="6" t="n">
        <f aca="false">G10</f>
        <v>1</v>
      </c>
      <c r="H44" s="6" t="n">
        <f aca="false">H10</f>
        <v>1</v>
      </c>
      <c r="I44" s="6" t="n">
        <f aca="false">I10</f>
        <v>1</v>
      </c>
      <c r="J44" s="6" t="n">
        <f aca="false">J10</f>
        <v>1</v>
      </c>
      <c r="K44" s="6" t="str">
        <f aca="false">K10</f>
        <v>.</v>
      </c>
      <c r="L44" s="6" t="n">
        <f aca="false">L10</f>
        <v>1</v>
      </c>
      <c r="M44" s="6" t="n">
        <f aca="false">M10</f>
        <v>0</v>
      </c>
      <c r="N44" s="6" t="n">
        <f aca="false">N10</f>
        <v>0</v>
      </c>
      <c r="O44" s="6" t="n">
        <f aca="false">O10</f>
        <v>1</v>
      </c>
      <c r="P44" s="6" t="str">
        <f aca="false">P10</f>
        <v>.</v>
      </c>
      <c r="Q44" s="6" t="n">
        <f aca="false">Q10</f>
        <v>1</v>
      </c>
      <c r="R44" s="6" t="n">
        <f aca="false">R10</f>
        <v>1</v>
      </c>
      <c r="S44" s="6" t="n">
        <f aca="false">S10</f>
        <v>0</v>
      </c>
      <c r="T44" s="6" t="n">
        <f aca="false">T10</f>
        <v>0</v>
      </c>
      <c r="U44" s="6" t="str">
        <f aca="false">U10</f>
        <v>.</v>
      </c>
      <c r="V44" s="6" t="n">
        <f aca="false">V10</f>
        <v>1</v>
      </c>
      <c r="W44" s="6" t="n">
        <f aca="false">W10</f>
        <v>1</v>
      </c>
      <c r="X44" s="6" t="n">
        <f aca="false">X10</f>
        <v>0</v>
      </c>
      <c r="Y44" s="6" t="n">
        <f aca="false">Y10</f>
        <v>1</v>
      </c>
      <c r="Z44" s="6"/>
      <c r="AA44" s="6"/>
      <c r="AB44" s="6"/>
      <c r="AC44" s="6"/>
      <c r="AD44" s="6" t="s">
        <v>63</v>
      </c>
      <c r="AE44" s="6" t="n">
        <f aca="false">C10</f>
        <v>-1587</v>
      </c>
      <c r="AF44" s="6"/>
      <c r="AG44" s="7" t="str">
        <f aca="false">IF(AA47=AE47,IF(OR(AND(G44=1,G45=0,G47=0),AND(G44=0,G45=1,G47=0)),$AP$27,$AP$23),IF(AND(G44=0,G45=0,G47=1),$AP$31,$AP$35))</f>
        <v>Результат корректный</v>
      </c>
      <c r="AH44" s="7"/>
      <c r="AI44" s="7"/>
      <c r="AJ44" s="7"/>
      <c r="AK44" s="7"/>
    </row>
    <row r="45" customFormat="false" ht="13.8" hidden="false" customHeight="false" outlineLevel="0" collapsed="false">
      <c r="E45" s="9" t="s">
        <v>46</v>
      </c>
      <c r="F45" s="1" t="s">
        <v>64</v>
      </c>
      <c r="G45" s="1" t="n">
        <f aca="false">G11</f>
        <v>1</v>
      </c>
      <c r="H45" s="1" t="n">
        <f aca="false">H11</f>
        <v>0</v>
      </c>
      <c r="I45" s="1" t="n">
        <f aca="false">I11</f>
        <v>1</v>
      </c>
      <c r="J45" s="1" t="n">
        <f aca="false">J11</f>
        <v>0</v>
      </c>
      <c r="K45" s="1" t="str">
        <f aca="false">K11</f>
        <v>.</v>
      </c>
      <c r="L45" s="1" t="n">
        <f aca="false">L11</f>
        <v>0</v>
      </c>
      <c r="M45" s="1" t="n">
        <f aca="false">M11</f>
        <v>1</v>
      </c>
      <c r="N45" s="1" t="n">
        <f aca="false">N11</f>
        <v>0</v>
      </c>
      <c r="O45" s="1" t="n">
        <f aca="false">O11</f>
        <v>0</v>
      </c>
      <c r="P45" s="1" t="str">
        <f aca="false">P11</f>
        <v>.</v>
      </c>
      <c r="Q45" s="1" t="n">
        <f aca="false">Q11</f>
        <v>1</v>
      </c>
      <c r="R45" s="1" t="n">
        <f aca="false">R11</f>
        <v>0</v>
      </c>
      <c r="S45" s="1" t="n">
        <f aca="false">S11</f>
        <v>1</v>
      </c>
      <c r="T45" s="1" t="n">
        <f aca="false">T11</f>
        <v>1</v>
      </c>
      <c r="U45" s="1" t="str">
        <f aca="false">U11</f>
        <v>.</v>
      </c>
      <c r="V45" s="1" t="n">
        <f aca="false">V11</f>
        <v>1</v>
      </c>
      <c r="W45" s="1" t="n">
        <f aca="false">W11</f>
        <v>0</v>
      </c>
      <c r="X45" s="1" t="n">
        <f aca="false">X11</f>
        <v>1</v>
      </c>
      <c r="Y45" s="1" t="n">
        <f aca="false">Y11</f>
        <v>0</v>
      </c>
      <c r="AC45" s="1" t="s">
        <v>46</v>
      </c>
      <c r="AD45" s="1" t="s">
        <v>65</v>
      </c>
      <c r="AE45" s="1" t="n">
        <f aca="false">C11</f>
        <v>-23366</v>
      </c>
      <c r="AG45" s="7"/>
      <c r="AH45" s="7"/>
      <c r="AI45" s="7"/>
      <c r="AJ45" s="7"/>
      <c r="AK45" s="7"/>
    </row>
    <row r="46" customFormat="false" ht="13.8" hidden="false" customHeight="false" outlineLevel="0" collapsed="false">
      <c r="E46" s="9"/>
      <c r="F46" s="1" t="s">
        <v>49</v>
      </c>
      <c r="G46" s="1" t="s">
        <v>49</v>
      </c>
      <c r="H46" s="1" t="s">
        <v>49</v>
      </c>
      <c r="I46" s="1" t="s">
        <v>49</v>
      </c>
      <c r="J46" s="1" t="s">
        <v>49</v>
      </c>
      <c r="K46" s="1" t="s">
        <v>49</v>
      </c>
      <c r="L46" s="1" t="s">
        <v>49</v>
      </c>
      <c r="M46" s="1" t="s">
        <v>49</v>
      </c>
      <c r="N46" s="1" t="s">
        <v>49</v>
      </c>
      <c r="O46" s="1" t="s">
        <v>49</v>
      </c>
      <c r="P46" s="1" t="s">
        <v>49</v>
      </c>
      <c r="Q46" s="1" t="s">
        <v>49</v>
      </c>
      <c r="R46" s="1" t="s">
        <v>49</v>
      </c>
      <c r="S46" s="1" t="s">
        <v>49</v>
      </c>
      <c r="T46" s="1" t="s">
        <v>49</v>
      </c>
      <c r="U46" s="1" t="s">
        <v>49</v>
      </c>
      <c r="V46" s="1" t="s">
        <v>49</v>
      </c>
      <c r="W46" s="1" t="s">
        <v>49</v>
      </c>
      <c r="X46" s="1" t="s">
        <v>49</v>
      </c>
      <c r="Y46" s="1" t="s">
        <v>49</v>
      </c>
      <c r="AD46" s="1" t="s">
        <v>49</v>
      </c>
      <c r="AE46" s="1" t="s">
        <v>49</v>
      </c>
      <c r="AG46" s="7"/>
      <c r="AH46" s="7"/>
      <c r="AI46" s="7"/>
      <c r="AJ46" s="7"/>
      <c r="AK46" s="7"/>
    </row>
    <row r="47" customFormat="false" ht="13.8" hidden="false" customHeight="false" outlineLevel="0" collapsed="false">
      <c r="E47" s="9"/>
      <c r="G47" s="1" t="n">
        <f aca="false">MOD(G44+G45+IF(OR(AND(H44=1,H45=1),AND(H44=1,H45=0,H47=0),AND(H44=0,H45=1,H47=0)),1,0),2)</f>
        <v>1</v>
      </c>
      <c r="H47" s="1" t="n">
        <f aca="false">MOD(H44+H45+IF(OR(AND(I44=1,I45=1),AND(I44=1,I45=0,I47=0),AND(I44=0,I45=1,I47=0)),1,0),2)</f>
        <v>0</v>
      </c>
      <c r="I47" s="1" t="n">
        <f aca="false">MOD(I44+I45+IF(OR(AND(J44=1,J45=1),AND(J44=1,J45=0,J47=0),AND(J44=0,J45=1,J47=0)),1,0),2)</f>
        <v>0</v>
      </c>
      <c r="J47" s="1" t="n">
        <f aca="false">MOD(J44+J45+IF(OR(AND(L44=1,L45=1),AND(L44=1,L45=0,L47=0),AND(L44=0,L45=1,L47=0)),1,0),2)</f>
        <v>1</v>
      </c>
      <c r="K47" s="1" t="s">
        <v>4</v>
      </c>
      <c r="L47" s="1" t="n">
        <f aca="false">MOD(L44+L45+IF(OR(AND(M44=1,M45=1),AND(M44=1,M45=0,M47=0),AND(M44=0,M45=1,M47=0)),1,0),2)</f>
        <v>1</v>
      </c>
      <c r="M47" s="1" t="n">
        <f aca="false">MOD(M44+M45+IF(OR(AND(N44=1,N45=1),AND(N44=1,N45=0,N47=0),AND(N44=0,N45=1,N47=0)),1,0),2)</f>
        <v>1</v>
      </c>
      <c r="N47" s="1" t="n">
        <f aca="false">MOD(N44+N45+IF(OR(AND(O44=1,O45=1),AND(O44=1,O45=0,O47=0),AND(O44=0,O45=1,O47=0)),1,0),2)</f>
        <v>1</v>
      </c>
      <c r="O47" s="1" t="n">
        <f aca="false">MOD(O44+O45+IF(OR(AND(Q44=1,Q45=1),AND(Q44=1,Q45=0,Q47=0),AND(Q44=0,Q45=1,Q47=0)),1,0),2)</f>
        <v>0</v>
      </c>
      <c r="P47" s="1" t="s">
        <v>4</v>
      </c>
      <c r="Q47" s="1" t="n">
        <f aca="false">MOD(Q44+Q45+IF(OR(AND(R44=1,R45=1),AND(R44=1,R45=0,R47=0),AND(R44=0,R45=1,R47=0)),1,0),2)</f>
        <v>1</v>
      </c>
      <c r="R47" s="1" t="n">
        <f aca="false">MOD(R44+R45+IF(OR(AND(S44=1,S45=1),AND(S44=1,S45=0,S47=0),AND(S44=0,S45=1,S47=0)),1,0),2)</f>
        <v>0</v>
      </c>
      <c r="S47" s="1" t="n">
        <f aca="false">MOD(S44+S45+IF(OR(AND(T44=1,T45=1),AND(T44=1,T45=0,T47=0),AND(T44=0,T45=1,T47=0)),1,0),2)</f>
        <v>0</v>
      </c>
      <c r="T47" s="1" t="n">
        <f aca="false">MOD(T44+T45+IF(OR(AND(V44=1,V45=1),AND(V44=1,V45=0,V47=0),AND(V44=0,V45=1,V47=0)),1,0),2)</f>
        <v>0</v>
      </c>
      <c r="U47" s="1" t="s">
        <v>4</v>
      </c>
      <c r="V47" s="1" t="n">
        <f aca="false">MOD(V44+V45+IF(OR(AND(W44=1,W45=1),AND(W44=1,W45=0,W47=0),AND(W44=0,W45=1,W47=0)),1,0),2)</f>
        <v>0</v>
      </c>
      <c r="W47" s="1" t="n">
        <f aca="false">MOD(W44+W45+IF(OR(AND(X44=1,X45=1),AND(X44=1,X45=0,X47=0),AND(X44=0,X45=1,X47=0)),1,0),2)</f>
        <v>1</v>
      </c>
      <c r="X47" s="1" t="n">
        <f aca="false">MOD(X44+X45+IF(OR(AND(Y44=1,Y45=1),AND(Y44=1,Y45=0,Y47=0),AND(Y44=0,Y45=1,Y47=0)),1,0),2)</f>
        <v>1</v>
      </c>
      <c r="Y47" s="1" t="n">
        <f aca="false">MOD(Y44+Y45+IF(OR(AND(Z39=1,Z40=1),AND(Z39=1,Z40=0,Z42=0),AND(Z39=0,Z40=1,Z42=0)),1,0),2)</f>
        <v>1</v>
      </c>
      <c r="Z47" s="1" t="s">
        <v>50</v>
      </c>
      <c r="AA47" s="1" t="n">
        <f aca="false">IF(G47=1,
-(MOD(H47+1,2)*2^14+MOD(I47+1,2)*2^13+MOD(J47+1,2)*2^12+MOD(L47+1,2)*2^11+MOD(M47+1,2)*2^10+MOD(N47+1,2)*2^9+MOD(O47+1,2)*2^8+MOD(Q47+1,2)*2^7+MOD(R47+1,2)*2^6 + MOD(S47+1,2)*2^5+MOD(T47+1,2)*2^4+MOD(V47+1,2)*2^3+MOD(W47+1,2)*2^2+MOD(X47+1,2)*2^1+MOD(Y47+1,2)*2^0 + 1),
(H47*2^14+I47*2^13+J47*2^12+L47*2^11+M47*2^10+N47*2^9+O47*2^8+Q47*2^7+R47*2^6 + S47*2^5+T47*2^4+V47*2^3+W47*2^2+X47*2^1+Y47*2^0))</f>
        <v>-24953</v>
      </c>
      <c r="AE47" s="1" t="n">
        <f aca="false">AE44+AE45</f>
        <v>-24953</v>
      </c>
      <c r="AG47" s="7"/>
      <c r="AH47" s="7"/>
      <c r="AI47" s="7"/>
      <c r="AJ47" s="7"/>
      <c r="AK47" s="7"/>
    </row>
    <row r="48" customFormat="false" ht="13.8" hidden="false" customHeight="false" outlineLevel="0" collapsed="false">
      <c r="E48" s="9"/>
      <c r="AK48" s="10"/>
    </row>
    <row r="49" customFormat="false" ht="13.8" hidden="false" customHeight="false" outlineLevel="0" collapsed="false">
      <c r="E49" s="12" t="s">
        <v>52</v>
      </c>
      <c r="F49" s="12"/>
      <c r="G49" s="13" t="n">
        <f aca="false">IF(OR(AND(G44=1,G45=0,G47=0),AND(G44=0,G45=1,G47=0),AND(G44=1,G45=1,G47=0)),1,0)</f>
        <v>0</v>
      </c>
      <c r="H49" s="13"/>
      <c r="I49" s="14" t="s">
        <v>53</v>
      </c>
      <c r="J49" s="14"/>
      <c r="K49" s="13" t="n">
        <f aca="false">IF(MOD(SUM(V47:Y47),2)=0,1,0)</f>
        <v>0</v>
      </c>
      <c r="L49" s="13"/>
      <c r="M49" s="14" t="s">
        <v>54</v>
      </c>
      <c r="N49" s="14"/>
      <c r="O49" s="13" t="n">
        <f aca="false">IF(OR(AND(V44=1,V45=0,V47=0),AND(V44=0,V45=1,V47=0),AND(V44=1,V45=1,V47=0)),1,0)</f>
        <v>1</v>
      </c>
      <c r="P49" s="13"/>
      <c r="Q49" s="14" t="s">
        <v>55</v>
      </c>
      <c r="R49" s="14"/>
      <c r="S49" s="13" t="n">
        <f aca="false">IF(SUM(G47:Y47)=0,1,0)</f>
        <v>0</v>
      </c>
      <c r="T49" s="13"/>
      <c r="U49" s="14" t="s">
        <v>56</v>
      </c>
      <c r="V49" s="14"/>
      <c r="W49" s="13" t="n">
        <f aca="false">G47</f>
        <v>1</v>
      </c>
      <c r="X49" s="13"/>
      <c r="Y49" s="14" t="s">
        <v>57</v>
      </c>
      <c r="Z49" s="14"/>
      <c r="AA49" s="13" t="n">
        <f aca="false">IF(OR(AND(G44=0,G45=0,OR(G47=1,S49=1)),AND(G44=1,G45=1,OR(G47=0,S49=1))),1,0)</f>
        <v>0</v>
      </c>
      <c r="AB49" s="13"/>
      <c r="AC49" s="13"/>
      <c r="AD49" s="13"/>
      <c r="AE49" s="13"/>
      <c r="AF49" s="13"/>
      <c r="AG49" s="13"/>
      <c r="AH49" s="13"/>
      <c r="AI49" s="13"/>
      <c r="AJ49" s="13"/>
      <c r="AK49" s="15"/>
    </row>
    <row r="51" customFormat="false" ht="13.8" hidden="false" customHeight="false" outlineLevel="0" collapsed="false">
      <c r="E51" s="5"/>
      <c r="F51" s="6" t="s">
        <v>64</v>
      </c>
      <c r="G51" s="6" t="n">
        <f aca="false">G11</f>
        <v>1</v>
      </c>
      <c r="H51" s="6" t="n">
        <f aca="false">H11</f>
        <v>0</v>
      </c>
      <c r="I51" s="6" t="n">
        <f aca="false">I11</f>
        <v>1</v>
      </c>
      <c r="J51" s="6" t="n">
        <f aca="false">J11</f>
        <v>0</v>
      </c>
      <c r="K51" s="6" t="str">
        <f aca="false">K11</f>
        <v>.</v>
      </c>
      <c r="L51" s="6" t="n">
        <f aca="false">L11</f>
        <v>0</v>
      </c>
      <c r="M51" s="6" t="n">
        <f aca="false">M11</f>
        <v>1</v>
      </c>
      <c r="N51" s="6" t="n">
        <f aca="false">N11</f>
        <v>0</v>
      </c>
      <c r="O51" s="6" t="n">
        <f aca="false">O11</f>
        <v>0</v>
      </c>
      <c r="P51" s="6" t="str">
        <f aca="false">P11</f>
        <v>.</v>
      </c>
      <c r="Q51" s="6" t="n">
        <f aca="false">Q11</f>
        <v>1</v>
      </c>
      <c r="R51" s="6" t="n">
        <f aca="false">R11</f>
        <v>0</v>
      </c>
      <c r="S51" s="6" t="n">
        <f aca="false">S11</f>
        <v>1</v>
      </c>
      <c r="T51" s="6" t="n">
        <f aca="false">T11</f>
        <v>1</v>
      </c>
      <c r="U51" s="6" t="str">
        <f aca="false">U11</f>
        <v>.</v>
      </c>
      <c r="V51" s="6" t="n">
        <f aca="false">V11</f>
        <v>1</v>
      </c>
      <c r="W51" s="6" t="n">
        <f aca="false">W11</f>
        <v>0</v>
      </c>
      <c r="X51" s="6" t="n">
        <f aca="false">X11</f>
        <v>1</v>
      </c>
      <c r="Y51" s="6" t="n">
        <f aca="false">Y11</f>
        <v>0</v>
      </c>
      <c r="Z51" s="6"/>
      <c r="AA51" s="6"/>
      <c r="AB51" s="6"/>
      <c r="AC51" s="6"/>
      <c r="AD51" s="6" t="s">
        <v>65</v>
      </c>
      <c r="AE51" s="6" t="n">
        <f aca="false">C11</f>
        <v>-23366</v>
      </c>
      <c r="AF51" s="6"/>
      <c r="AG51" s="16" t="str">
        <f aca="false">IF(AA54=AE54,IF(OR(AND(G51=1,G52=0,G54=0),AND(G51=0,G52=1,G54=0)),$AP$27,$AP$23),IF(AND(G51=0,G52=0,G54=1),$AP$31,$AP$35))</f>
        <v>При сложении отрицательных чисел
получен положительный результат -
ПЕРЕПОЛНЕНИЕ</v>
      </c>
      <c r="AH51" s="16"/>
      <c r="AI51" s="16"/>
      <c r="AJ51" s="16"/>
      <c r="AK51" s="16"/>
    </row>
    <row r="52" customFormat="false" ht="13.8" hidden="false" customHeight="false" outlineLevel="0" collapsed="false">
      <c r="E52" s="9" t="s">
        <v>46</v>
      </c>
      <c r="F52" s="1" t="s">
        <v>66</v>
      </c>
      <c r="G52" s="1" t="n">
        <f aca="false">G12</f>
        <v>1</v>
      </c>
      <c r="H52" s="1" t="n">
        <f aca="false">H12</f>
        <v>0</v>
      </c>
      <c r="I52" s="1" t="n">
        <f aca="false">I12</f>
        <v>0</v>
      </c>
      <c r="J52" s="1" t="n">
        <f aca="false">J12</f>
        <v>1</v>
      </c>
      <c r="K52" s="1" t="str">
        <f aca="false">K12</f>
        <v>.</v>
      </c>
      <c r="L52" s="1" t="n">
        <f aca="false">L12</f>
        <v>1</v>
      </c>
      <c r="M52" s="1" t="n">
        <f aca="false">M12</f>
        <v>1</v>
      </c>
      <c r="N52" s="1" t="n">
        <f aca="false">N12</f>
        <v>1</v>
      </c>
      <c r="O52" s="1" t="n">
        <f aca="false">O12</f>
        <v>0</v>
      </c>
      <c r="P52" s="1" t="str">
        <f aca="false">P12</f>
        <v>.</v>
      </c>
      <c r="Q52" s="1" t="n">
        <f aca="false">Q12</f>
        <v>1</v>
      </c>
      <c r="R52" s="1" t="n">
        <f aca="false">R12</f>
        <v>0</v>
      </c>
      <c r="S52" s="1" t="n">
        <f aca="false">S12</f>
        <v>0</v>
      </c>
      <c r="T52" s="1" t="n">
        <f aca="false">T12</f>
        <v>0</v>
      </c>
      <c r="U52" s="1" t="str">
        <f aca="false">U12</f>
        <v>.</v>
      </c>
      <c r="V52" s="1" t="n">
        <f aca="false">V12</f>
        <v>0</v>
      </c>
      <c r="W52" s="1" t="n">
        <f aca="false">W12</f>
        <v>1</v>
      </c>
      <c r="X52" s="1" t="n">
        <f aca="false">X12</f>
        <v>1</v>
      </c>
      <c r="Y52" s="1" t="n">
        <f aca="false">Y12</f>
        <v>1</v>
      </c>
      <c r="AC52" s="1" t="s">
        <v>46</v>
      </c>
      <c r="AD52" s="1" t="s">
        <v>67</v>
      </c>
      <c r="AE52" s="1" t="n">
        <f aca="false">C12</f>
        <v>-24953</v>
      </c>
      <c r="AG52" s="16"/>
      <c r="AH52" s="16"/>
      <c r="AI52" s="16"/>
      <c r="AJ52" s="16"/>
      <c r="AK52" s="16"/>
    </row>
    <row r="53" customFormat="false" ht="13.8" hidden="false" customHeight="false" outlineLevel="0" collapsed="false">
      <c r="E53" s="9"/>
      <c r="F53" s="1" t="s">
        <v>49</v>
      </c>
      <c r="G53" s="1" t="s">
        <v>49</v>
      </c>
      <c r="H53" s="1" t="s">
        <v>49</v>
      </c>
      <c r="I53" s="1" t="s">
        <v>49</v>
      </c>
      <c r="J53" s="1" t="s">
        <v>49</v>
      </c>
      <c r="K53" s="1" t="s">
        <v>49</v>
      </c>
      <c r="L53" s="1" t="s">
        <v>49</v>
      </c>
      <c r="M53" s="1" t="s">
        <v>49</v>
      </c>
      <c r="N53" s="1" t="s">
        <v>49</v>
      </c>
      <c r="O53" s="1" t="s">
        <v>49</v>
      </c>
      <c r="P53" s="1" t="s">
        <v>49</v>
      </c>
      <c r="Q53" s="1" t="s">
        <v>49</v>
      </c>
      <c r="R53" s="1" t="s">
        <v>49</v>
      </c>
      <c r="S53" s="1" t="s">
        <v>49</v>
      </c>
      <c r="T53" s="1" t="s">
        <v>49</v>
      </c>
      <c r="U53" s="1" t="s">
        <v>49</v>
      </c>
      <c r="V53" s="1" t="s">
        <v>49</v>
      </c>
      <c r="W53" s="1" t="s">
        <v>49</v>
      </c>
      <c r="X53" s="1" t="s">
        <v>49</v>
      </c>
      <c r="Y53" s="1" t="s">
        <v>49</v>
      </c>
      <c r="AD53" s="1" t="s">
        <v>49</v>
      </c>
      <c r="AE53" s="1" t="s">
        <v>49</v>
      </c>
      <c r="AG53" s="16"/>
      <c r="AH53" s="16"/>
      <c r="AI53" s="16"/>
      <c r="AJ53" s="16"/>
      <c r="AK53" s="16"/>
    </row>
    <row r="54" customFormat="false" ht="13.8" hidden="false" customHeight="false" outlineLevel="0" collapsed="false">
      <c r="E54" s="9"/>
      <c r="G54" s="1" t="n">
        <f aca="false">MOD(G51+G52+IF(OR(AND(H51=1,H52=1),AND(H51=1,H52=0,H54=0),AND(H51=0,H52=1,H54=0)),1,0),2)</f>
        <v>0</v>
      </c>
      <c r="H54" s="1" t="n">
        <f aca="false">MOD(H51+H52+IF(OR(AND(I51=1,I52=1),AND(I51=1,I52=0,I54=0),AND(I51=0,I52=1,I54=0)),1,0),2)</f>
        <v>1</v>
      </c>
      <c r="I54" s="1" t="n">
        <f aca="false">MOD(I51+I52+IF(OR(AND(J51=1,J52=1),AND(J51=1,J52=0,J54=0),AND(J51=0,J52=1,J54=0)),1,0),2)</f>
        <v>0</v>
      </c>
      <c r="J54" s="1" t="n">
        <f aca="false">MOD(J51+J52+IF(OR(AND(L51=1,L52=1),AND(L51=1,L52=0,L54=0),AND(L51=0,L52=1,L54=0)),1,0),2)</f>
        <v>0</v>
      </c>
      <c r="K54" s="1" t="s">
        <v>4</v>
      </c>
      <c r="L54" s="1" t="n">
        <f aca="false">MOD(L51+L52+IF(OR(AND(M51=1,M52=1),AND(M51=1,M52=0,M54=0),AND(M51=0,M52=1,M54=0)),1,0),2)</f>
        <v>0</v>
      </c>
      <c r="M54" s="1" t="n">
        <f aca="false">MOD(M51+M52+IF(OR(AND(N51=1,N52=1),AND(N51=1,N52=0,N54=0),AND(N51=0,N52=1,N54=0)),1,0),2)</f>
        <v>0</v>
      </c>
      <c r="N54" s="1" t="n">
        <f aca="false">MOD(N51+N52+IF(OR(AND(O51=1,O52=1),AND(O51=1,O52=0,O54=0),AND(O51=0,O52=1,O54=0)),1,0),2)</f>
        <v>1</v>
      </c>
      <c r="O54" s="1" t="n">
        <f aca="false">MOD(O51+O52+IF(OR(AND(Q51=1,Q52=1),AND(Q51=1,Q52=0,Q54=0),AND(Q51=0,Q52=1,Q54=0)),1,0),2)</f>
        <v>1</v>
      </c>
      <c r="P54" s="1" t="s">
        <v>4</v>
      </c>
      <c r="Q54" s="1" t="n">
        <f aca="false">MOD(Q51+Q52+IF(OR(AND(R51=1,R52=1),AND(R51=1,R52=0,R54=0),AND(R51=0,R52=1,R54=0)),1,0),2)</f>
        <v>0</v>
      </c>
      <c r="R54" s="1" t="n">
        <f aca="false">MOD(R51+R52+IF(OR(AND(S51=1,S52=1),AND(S51=1,S52=0,S54=0),AND(S51=0,S52=1,S54=0)),1,0),2)</f>
        <v>1</v>
      </c>
      <c r="S54" s="1" t="n">
        <f aca="false">MOD(S51+S52+IF(OR(AND(T51=1,T52=1),AND(T51=1,T52=0,T54=0),AND(T51=0,T52=1,T54=0)),1,0),2)</f>
        <v>0</v>
      </c>
      <c r="T54" s="1" t="n">
        <f aca="false">MOD(T51+T52+IF(OR(AND(V51=1,V52=1),AND(V51=1,V52=0,V54=0),AND(V51=0,V52=1,V54=0)),1,0),2)</f>
        <v>0</v>
      </c>
      <c r="U54" s="1" t="s">
        <v>4</v>
      </c>
      <c r="V54" s="1" t="n">
        <f aca="false">MOD(V51+V52+IF(OR(AND(W51=1,W52=1),AND(W51=1,W52=0,W54=0),AND(W51=0,W52=1,W54=0)),1,0),2)</f>
        <v>0</v>
      </c>
      <c r="W54" s="1" t="n">
        <f aca="false">MOD(W51+W52+IF(OR(AND(X51=1,X52=1),AND(X51=1,X52=0,X54=0),AND(X51=0,X52=1,X54=0)),1,0),2)</f>
        <v>0</v>
      </c>
      <c r="X54" s="1" t="n">
        <f aca="false">MOD(X51+X52+IF(OR(AND(Y51=1,Y52=1),AND(Y51=1,Y52=0,Y54=0),AND(Y51=0,Y52=1,Y54=0)),1,0),2)</f>
        <v>0</v>
      </c>
      <c r="Y54" s="1" t="n">
        <f aca="false">MOD(Y51+Y52+IF(OR(AND(Z43=1,Z44=1),AND(Z43=1,Z44=0,Z46=0),AND(Z43=0,Z44=1,Z46=0)),1,0),2)</f>
        <v>1</v>
      </c>
      <c r="Z54" s="1" t="s">
        <v>50</v>
      </c>
      <c r="AA54" s="1" t="n">
        <f aca="false">IF(G54=1,
-(MOD(H54+1,2)*2^14+MOD(I54+1,2)*2^13+MOD(J54+1,2)*2^12+MOD(L54+1,2)*2^11+MOD(M54+1,2)*2^10+MOD(N54+1,2)*2^9+MOD(O54+1,2)*2^8+MOD(Q54+1,2)*2^7+MOD(R54+1,2)*2^6 + MOD(S54+1,2)*2^5+MOD(T54+1,2)*2^4+MOD(V54+1,2)*2^3+MOD(W54+1,2)*2^2+MOD(X54+1,2)*2^1+MOD(Y54+1,2)*2^0 + 1),
(H54*2^14+I54*2^13+J54*2^12+L54*2^11+M54*2^10+N54*2^9+O54*2^8+Q54*2^7+R54*2^6 + S54*2^5+T54*2^4+V54*2^3+W54*2^2+X54*2^1+Y54*2^0))</f>
        <v>17217</v>
      </c>
      <c r="AE54" s="1" t="n">
        <f aca="false">AE51+AE52</f>
        <v>-48319</v>
      </c>
      <c r="AG54" s="16"/>
      <c r="AH54" s="16"/>
      <c r="AI54" s="16"/>
      <c r="AJ54" s="16"/>
      <c r="AK54" s="16"/>
    </row>
    <row r="55" customFormat="false" ht="13.8" hidden="false" customHeight="false" outlineLevel="0" collapsed="false">
      <c r="E55" s="9"/>
      <c r="AK55" s="10"/>
    </row>
    <row r="56" customFormat="false" ht="13.8" hidden="false" customHeight="false" outlineLevel="0" collapsed="false">
      <c r="E56" s="12" t="s">
        <v>52</v>
      </c>
      <c r="F56" s="12"/>
      <c r="G56" s="13" t="n">
        <f aca="false">IF(OR(AND(G51=1,G52=0,G54=0),AND(G51=0,G52=1,G54=0),AND(G51=1,G52=1,G54=0)),1,0)</f>
        <v>1</v>
      </c>
      <c r="H56" s="13"/>
      <c r="I56" s="14" t="s">
        <v>53</v>
      </c>
      <c r="J56" s="14"/>
      <c r="K56" s="13" t="n">
        <f aca="false">IF(MOD(SUM(V54:Y54),2)=0,1,0)</f>
        <v>0</v>
      </c>
      <c r="L56" s="13"/>
      <c r="M56" s="14" t="s">
        <v>54</v>
      </c>
      <c r="N56" s="14"/>
      <c r="O56" s="13" t="n">
        <f aca="false">IF(OR(AND(V51=1,V52=0,V54=0),AND(V51=0,V52=1,V54=0),AND(V51=1,V52=1,V54=0)),1,0)</f>
        <v>1</v>
      </c>
      <c r="P56" s="13"/>
      <c r="Q56" s="14" t="s">
        <v>55</v>
      </c>
      <c r="R56" s="14"/>
      <c r="S56" s="13" t="n">
        <f aca="false">IF(SUM(G54:Y54)=0,1,0)</f>
        <v>0</v>
      </c>
      <c r="T56" s="13"/>
      <c r="U56" s="14" t="s">
        <v>56</v>
      </c>
      <c r="V56" s="14"/>
      <c r="W56" s="13" t="n">
        <f aca="false">G54</f>
        <v>0</v>
      </c>
      <c r="X56" s="13"/>
      <c r="Y56" s="14" t="s">
        <v>57</v>
      </c>
      <c r="Z56" s="14"/>
      <c r="AA56" s="13" t="n">
        <f aca="false">IF(OR(AND(G51=0,G52=0,OR(G54=1,S56=1)),AND(G51=1,G52=1,OR(G54=0,S56=1))),1,0)</f>
        <v>1</v>
      </c>
      <c r="AB56" s="13"/>
      <c r="AC56" s="13"/>
      <c r="AD56" s="13"/>
      <c r="AE56" s="13"/>
      <c r="AF56" s="13"/>
      <c r="AG56" s="13"/>
      <c r="AH56" s="13"/>
      <c r="AI56" s="13"/>
      <c r="AJ56" s="13"/>
      <c r="AK56" s="15"/>
    </row>
    <row r="58" customFormat="false" ht="13.8" hidden="false" customHeight="false" outlineLevel="0" collapsed="false">
      <c r="E58" s="5"/>
      <c r="F58" s="6" t="s">
        <v>43</v>
      </c>
      <c r="G58" s="6" t="n">
        <f aca="false">G4</f>
        <v>0</v>
      </c>
      <c r="H58" s="6" t="n">
        <f aca="false">H4</f>
        <v>0</v>
      </c>
      <c r="I58" s="6" t="n">
        <f aca="false">I4</f>
        <v>0</v>
      </c>
      <c r="J58" s="6" t="n">
        <f aca="false">J4</f>
        <v>0</v>
      </c>
      <c r="K58" s="6" t="str">
        <f aca="false">K4</f>
        <v>.</v>
      </c>
      <c r="L58" s="6" t="n">
        <f aca="false">L4</f>
        <v>0</v>
      </c>
      <c r="M58" s="6" t="n">
        <f aca="false">M4</f>
        <v>1</v>
      </c>
      <c r="N58" s="6" t="n">
        <f aca="false">N4</f>
        <v>1</v>
      </c>
      <c r="O58" s="6" t="n">
        <f aca="false">O4</f>
        <v>0</v>
      </c>
      <c r="P58" s="6" t="str">
        <f aca="false">P4</f>
        <v>.</v>
      </c>
      <c r="Q58" s="6" t="n">
        <f aca="false">Q4</f>
        <v>0</v>
      </c>
      <c r="R58" s="6" t="n">
        <f aca="false">R4</f>
        <v>0</v>
      </c>
      <c r="S58" s="6" t="n">
        <f aca="false">S4</f>
        <v>1</v>
      </c>
      <c r="T58" s="6" t="n">
        <f aca="false">T4</f>
        <v>1</v>
      </c>
      <c r="U58" s="6" t="str">
        <f aca="false">U4</f>
        <v>.</v>
      </c>
      <c r="V58" s="6" t="n">
        <f aca="false">V4</f>
        <v>0</v>
      </c>
      <c r="W58" s="6" t="n">
        <f aca="false">W4</f>
        <v>0</v>
      </c>
      <c r="X58" s="6" t="n">
        <f aca="false">X4</f>
        <v>1</v>
      </c>
      <c r="Y58" s="6" t="n">
        <f aca="false">Y4</f>
        <v>1</v>
      </c>
      <c r="Z58" s="6"/>
      <c r="AA58" s="6"/>
      <c r="AB58" s="6"/>
      <c r="AC58" s="6"/>
      <c r="AD58" s="6" t="s">
        <v>44</v>
      </c>
      <c r="AE58" s="6" t="n">
        <f aca="false">C4</f>
        <v>1587</v>
      </c>
      <c r="AF58" s="6"/>
      <c r="AG58" s="7" t="str">
        <f aca="false">IF(AA61=AE61,IF(OR(AND(G58=1,G59=0,G61=0),AND(G58=0,G59=1,G61=0)),$AP$27,$AP$23),IF(AND(G58=0,G59=0,G61=1),$AP$31,$AP$35))</f>
        <v>Результат корректный</v>
      </c>
      <c r="AH58" s="7"/>
      <c r="AI58" s="7"/>
      <c r="AJ58" s="7"/>
      <c r="AK58" s="7"/>
    </row>
    <row r="59" customFormat="false" ht="13.8" hidden="false" customHeight="false" outlineLevel="0" collapsed="false">
      <c r="E59" s="9" t="s">
        <v>46</v>
      </c>
      <c r="F59" s="1" t="s">
        <v>64</v>
      </c>
      <c r="G59" s="1" t="n">
        <f aca="false">G11</f>
        <v>1</v>
      </c>
      <c r="H59" s="1" t="n">
        <f aca="false">H11</f>
        <v>0</v>
      </c>
      <c r="I59" s="1" t="n">
        <f aca="false">I11</f>
        <v>1</v>
      </c>
      <c r="J59" s="1" t="n">
        <f aca="false">J11</f>
        <v>0</v>
      </c>
      <c r="K59" s="1" t="str">
        <f aca="false">K11</f>
        <v>.</v>
      </c>
      <c r="L59" s="1" t="n">
        <f aca="false">L11</f>
        <v>0</v>
      </c>
      <c r="M59" s="1" t="n">
        <f aca="false">M11</f>
        <v>1</v>
      </c>
      <c r="N59" s="1" t="n">
        <f aca="false">N11</f>
        <v>0</v>
      </c>
      <c r="O59" s="1" t="n">
        <f aca="false">O11</f>
        <v>0</v>
      </c>
      <c r="P59" s="1" t="str">
        <f aca="false">P11</f>
        <v>.</v>
      </c>
      <c r="Q59" s="1" t="n">
        <f aca="false">Q11</f>
        <v>1</v>
      </c>
      <c r="R59" s="1" t="n">
        <f aca="false">R11</f>
        <v>0</v>
      </c>
      <c r="S59" s="1" t="n">
        <f aca="false">S11</f>
        <v>1</v>
      </c>
      <c r="T59" s="1" t="n">
        <f aca="false">T11</f>
        <v>1</v>
      </c>
      <c r="U59" s="1" t="str">
        <f aca="false">U11</f>
        <v>.</v>
      </c>
      <c r="V59" s="1" t="n">
        <f aca="false">V11</f>
        <v>1</v>
      </c>
      <c r="W59" s="1" t="n">
        <f aca="false">W11</f>
        <v>0</v>
      </c>
      <c r="X59" s="1" t="n">
        <f aca="false">X11</f>
        <v>1</v>
      </c>
      <c r="Y59" s="1" t="n">
        <f aca="false">Y11</f>
        <v>0</v>
      </c>
      <c r="AC59" s="1" t="s">
        <v>46</v>
      </c>
      <c r="AD59" s="1" t="s">
        <v>65</v>
      </c>
      <c r="AE59" s="1" t="n">
        <f aca="false">C11</f>
        <v>-23366</v>
      </c>
      <c r="AG59" s="7"/>
      <c r="AH59" s="7"/>
      <c r="AI59" s="7"/>
      <c r="AJ59" s="7"/>
      <c r="AK59" s="7"/>
    </row>
    <row r="60" customFormat="false" ht="13.8" hidden="false" customHeight="false" outlineLevel="0" collapsed="false">
      <c r="E60" s="9"/>
      <c r="F60" s="1" t="s">
        <v>49</v>
      </c>
      <c r="G60" s="1" t="s">
        <v>49</v>
      </c>
      <c r="H60" s="1" t="s">
        <v>49</v>
      </c>
      <c r="I60" s="1" t="s">
        <v>49</v>
      </c>
      <c r="J60" s="1" t="s">
        <v>49</v>
      </c>
      <c r="K60" s="1" t="s">
        <v>49</v>
      </c>
      <c r="L60" s="1" t="s">
        <v>49</v>
      </c>
      <c r="M60" s="1" t="s">
        <v>49</v>
      </c>
      <c r="N60" s="1" t="s">
        <v>49</v>
      </c>
      <c r="O60" s="1" t="s">
        <v>49</v>
      </c>
      <c r="P60" s="1" t="s">
        <v>49</v>
      </c>
      <c r="Q60" s="1" t="s">
        <v>49</v>
      </c>
      <c r="R60" s="1" t="s">
        <v>49</v>
      </c>
      <c r="S60" s="1" t="s">
        <v>49</v>
      </c>
      <c r="T60" s="1" t="s">
        <v>49</v>
      </c>
      <c r="U60" s="1" t="s">
        <v>49</v>
      </c>
      <c r="V60" s="1" t="s">
        <v>49</v>
      </c>
      <c r="W60" s="1" t="s">
        <v>49</v>
      </c>
      <c r="X60" s="1" t="s">
        <v>49</v>
      </c>
      <c r="Y60" s="1" t="s">
        <v>49</v>
      </c>
      <c r="AD60" s="1" t="s">
        <v>49</v>
      </c>
      <c r="AE60" s="1" t="s">
        <v>49</v>
      </c>
      <c r="AG60" s="7"/>
      <c r="AH60" s="7"/>
      <c r="AI60" s="7"/>
      <c r="AJ60" s="7"/>
      <c r="AK60" s="7"/>
    </row>
    <row r="61" customFormat="false" ht="13.8" hidden="false" customHeight="false" outlineLevel="0" collapsed="false">
      <c r="E61" s="9"/>
      <c r="G61" s="1" t="n">
        <f aca="false">MOD(G58+G59+IF(OR(AND(H58=1,H59=1),AND(H58=1,H59=0,H61=0),AND(H58=0,H59=1,H61=0)),1,0),2)</f>
        <v>1</v>
      </c>
      <c r="H61" s="1" t="n">
        <f aca="false">MOD(H58+H59+IF(OR(AND(I58=1,I59=1),AND(I58=1,I59=0,I61=0),AND(I58=0,I59=1,I61=0)),1,0),2)</f>
        <v>0</v>
      </c>
      <c r="I61" s="1" t="n">
        <f aca="false">MOD(I58+I59+IF(OR(AND(J58=1,J59=1),AND(J58=1,J59=0,J61=0),AND(J58=0,J59=1,J61=0)),1,0),2)</f>
        <v>1</v>
      </c>
      <c r="J61" s="1" t="n">
        <f aca="false">MOD(J58+J59+IF(OR(AND(L58=1,L59=1),AND(L58=1,L59=0,L61=0),AND(L58=0,L59=1,L61=0)),1,0),2)</f>
        <v>0</v>
      </c>
      <c r="K61" s="1" t="s">
        <v>4</v>
      </c>
      <c r="L61" s="1" t="n">
        <f aca="false">MOD(L58+L59+IF(OR(AND(M58=1,M59=1),AND(M58=1,M59=0,M61=0),AND(M58=0,M59=1,M61=0)),1,0),2)</f>
        <v>1</v>
      </c>
      <c r="M61" s="1" t="n">
        <f aca="false">MOD(M58+M59+IF(OR(AND(N58=1,N59=1),AND(N58=1,N59=0,N61=0),AND(N58=0,N59=1,N61=0)),1,0),2)</f>
        <v>0</v>
      </c>
      <c r="N61" s="1" t="n">
        <f aca="false">MOD(N58+N59+IF(OR(AND(O58=1,O59=1),AND(O58=1,O59=0,O61=0),AND(O58=0,O59=1,O61=0)),1,0),2)</f>
        <v>1</v>
      </c>
      <c r="O61" s="1" t="n">
        <f aca="false">MOD(O58+O59+IF(OR(AND(Q58=1,Q59=1),AND(Q58=1,Q59=0,Q61=0),AND(Q58=0,Q59=1,Q61=0)),1,0),2)</f>
        <v>0</v>
      </c>
      <c r="P61" s="1" t="s">
        <v>4</v>
      </c>
      <c r="Q61" s="1" t="n">
        <f aca="false">MOD(Q58+Q59+IF(OR(AND(R58=1,R59=1),AND(R58=1,R59=0,R61=0),AND(R58=0,R59=1,R61=0)),1,0),2)</f>
        <v>1</v>
      </c>
      <c r="R61" s="1" t="n">
        <f aca="false">MOD(R58+R59+IF(OR(AND(S58=1,S59=1),AND(S58=1,S59=0,S61=0),AND(S58=0,S59=1,S61=0)),1,0),2)</f>
        <v>1</v>
      </c>
      <c r="S61" s="1" t="n">
        <f aca="false">MOD(S58+S59+IF(OR(AND(T58=1,T59=1),AND(T58=1,T59=0,T61=0),AND(T58=0,T59=1,T61=0)),1,0),2)</f>
        <v>1</v>
      </c>
      <c r="T61" s="1" t="n">
        <f aca="false">MOD(T58+T59+IF(OR(AND(V58=1,V59=1),AND(V58=1,V59=0,V61=0),AND(V58=0,V59=1,V61=0)),1,0),2)</f>
        <v>0</v>
      </c>
      <c r="U61" s="1" t="s">
        <v>4</v>
      </c>
      <c r="V61" s="1" t="n">
        <f aca="false">MOD(V58+V59+IF(OR(AND(W58=1,W59=1),AND(W58=1,W59=0,W61=0),AND(W58=0,W59=1,W61=0)),1,0),2)</f>
        <v>1</v>
      </c>
      <c r="W61" s="1" t="n">
        <f aca="false">MOD(W58+W59+IF(OR(AND(X58=1,X59=1),AND(X58=1,X59=0,X61=0),AND(X58=0,X59=1,X61=0)),1,0),2)</f>
        <v>1</v>
      </c>
      <c r="X61" s="1" t="n">
        <f aca="false">MOD(X58+X59+IF(OR(AND(Y58=1,Y59=1),AND(Y58=1,Y59=0,Y61=0),AND(Y58=0,Y59=1,Y61=0)),1,0),2)</f>
        <v>0</v>
      </c>
      <c r="Y61" s="1" t="n">
        <f aca="false">MOD(Y58+Y59+IF(OR(AND(Z47=1,Z48=1),AND(Z47=1,Z48=0,Z50=0),AND(Z47=0,Z48=1,Z50=0)),1,0),2)</f>
        <v>1</v>
      </c>
      <c r="Z61" s="1" t="s">
        <v>50</v>
      </c>
      <c r="AA61" s="1" t="n">
        <f aca="false">IF(G61=1,
-(MOD(H61+1,2)*2^14+MOD(I61+1,2)*2^13+MOD(J61+1,2)*2^12+MOD(L61+1,2)*2^11+MOD(M61+1,2)*2^10+MOD(N61+1,2)*2^9+MOD(O61+1,2)*2^8+MOD(Q61+1,2)*2^7+MOD(R61+1,2)*2^6 + MOD(S61+1,2)*2^5+MOD(T61+1,2)*2^4+MOD(V61+1,2)*2^3+MOD(W61+1,2)*2^2+MOD(X61+1,2)*2^1+MOD(Y61+1,2)*2^0 + 1),
(H61*2^14+I61*2^13+J61*2^12+L61*2^11+M61*2^10+N61*2^9+O61*2^8+Q61*2^7+R61*2^6 + S61*2^5+T61*2^4+V61*2^3+W61*2^2+X61*2^1+Y61*2^0))</f>
        <v>-21779</v>
      </c>
      <c r="AE61" s="1" t="n">
        <f aca="false">AE58+AE59</f>
        <v>-21779</v>
      </c>
      <c r="AG61" s="7"/>
      <c r="AH61" s="7"/>
      <c r="AI61" s="7"/>
      <c r="AJ61" s="7"/>
      <c r="AK61" s="7"/>
    </row>
    <row r="62" customFormat="false" ht="13.8" hidden="false" customHeight="false" outlineLevel="0" collapsed="false">
      <c r="E62" s="9"/>
      <c r="AK62" s="10"/>
    </row>
    <row r="63" customFormat="false" ht="13.8" hidden="false" customHeight="false" outlineLevel="0" collapsed="false">
      <c r="E63" s="12" t="s">
        <v>52</v>
      </c>
      <c r="F63" s="12"/>
      <c r="G63" s="13" t="n">
        <f aca="false">IF(OR(AND(G58=1,G59=0,G61=0),AND(G58=0,G59=1,G61=0),AND(G58=1,G59=1,G61=0)),1,0)</f>
        <v>0</v>
      </c>
      <c r="H63" s="13"/>
      <c r="I63" s="14" t="s">
        <v>53</v>
      </c>
      <c r="J63" s="14"/>
      <c r="K63" s="13" t="n">
        <f aca="false">IF(MOD(SUM(V61:Y61),2)=0,1,0)</f>
        <v>0</v>
      </c>
      <c r="L63" s="13"/>
      <c r="M63" s="14" t="s">
        <v>54</v>
      </c>
      <c r="N63" s="14"/>
      <c r="O63" s="13" t="n">
        <f aca="false">IF(OR(AND(V58=1,V59=0,V61=0),AND(V58=0,V59=1,V61=0),AND(V58=1,V59=1,V61=0)),1,0)</f>
        <v>0</v>
      </c>
      <c r="P63" s="13"/>
      <c r="Q63" s="14" t="s">
        <v>55</v>
      </c>
      <c r="R63" s="14"/>
      <c r="S63" s="13" t="n">
        <f aca="false">IF(SUM(G61:Y61)=0,1,0)</f>
        <v>0</v>
      </c>
      <c r="T63" s="13"/>
      <c r="U63" s="14" t="s">
        <v>56</v>
      </c>
      <c r="V63" s="14"/>
      <c r="W63" s="13" t="n">
        <f aca="false">G61</f>
        <v>1</v>
      </c>
      <c r="X63" s="13"/>
      <c r="Y63" s="14" t="s">
        <v>57</v>
      </c>
      <c r="Z63" s="14"/>
      <c r="AA63" s="13" t="n">
        <f aca="false">IF(OR(AND(G58=0,G59=0,OR(G61=1,S63=1)),AND(G58=1,G59=1,OR(G61=0,S63=1))),1,0)</f>
        <v>0</v>
      </c>
      <c r="AB63" s="13"/>
      <c r="AC63" s="13"/>
      <c r="AD63" s="13"/>
      <c r="AE63" s="13"/>
      <c r="AF63" s="13"/>
      <c r="AG63" s="13"/>
      <c r="AH63" s="13"/>
      <c r="AI63" s="13"/>
      <c r="AJ63" s="13"/>
      <c r="AK63" s="15"/>
    </row>
    <row r="65" customFormat="false" ht="13.8" hidden="false" customHeight="false" outlineLevel="0" collapsed="false">
      <c r="E65" s="5"/>
      <c r="F65" s="6" t="s">
        <v>68</v>
      </c>
      <c r="G65" s="6" t="n">
        <f aca="false">G14</f>
        <v>1</v>
      </c>
      <c r="H65" s="6" t="n">
        <f aca="false">H14</f>
        <v>0</v>
      </c>
      <c r="I65" s="6" t="n">
        <f aca="false">I14</f>
        <v>1</v>
      </c>
      <c r="J65" s="6" t="n">
        <f aca="false">J14</f>
        <v>0</v>
      </c>
      <c r="K65" s="6" t="str">
        <f aca="false">K14</f>
        <v>.</v>
      </c>
      <c r="L65" s="6" t="n">
        <f aca="false">L14</f>
        <v>1</v>
      </c>
      <c r="M65" s="6" t="n">
        <f aca="false">M14</f>
        <v>0</v>
      </c>
      <c r="N65" s="6" t="n">
        <f aca="false">N14</f>
        <v>1</v>
      </c>
      <c r="O65" s="6" t="n">
        <f aca="false">O14</f>
        <v>0</v>
      </c>
      <c r="P65" s="6" t="str">
        <f aca="false">P14</f>
        <v>.</v>
      </c>
      <c r="Q65" s="6" t="n">
        <f aca="false">Q14</f>
        <v>1</v>
      </c>
      <c r="R65" s="6" t="n">
        <f aca="false">R14</f>
        <v>1</v>
      </c>
      <c r="S65" s="6" t="n">
        <f aca="false">S14</f>
        <v>1</v>
      </c>
      <c r="T65" s="6" t="n">
        <f aca="false">T14</f>
        <v>0</v>
      </c>
      <c r="U65" s="6" t="str">
        <f aca="false">U14</f>
        <v>.</v>
      </c>
      <c r="V65" s="6" t="n">
        <f aca="false">V14</f>
        <v>1</v>
      </c>
      <c r="W65" s="6" t="n">
        <f aca="false">W14</f>
        <v>1</v>
      </c>
      <c r="X65" s="6" t="n">
        <f aca="false">X14</f>
        <v>0</v>
      </c>
      <c r="Y65" s="6" t="n">
        <f aca="false">Y14</f>
        <v>1</v>
      </c>
      <c r="Z65" s="6"/>
      <c r="AA65" s="6"/>
      <c r="AB65" s="6"/>
      <c r="AC65" s="6"/>
      <c r="AD65" s="6" t="s">
        <v>69</v>
      </c>
      <c r="AE65" s="6" t="n">
        <f aca="false">C14</f>
        <v>-21779</v>
      </c>
      <c r="AF65" s="6"/>
      <c r="AG65" s="16" t="str">
        <f aca="false">IF(AA68=AE68,IF(OR(AND(G65=1,G66=0,G68=0),AND(G65=0,G66=1,G68=0)),$AP$27,$AP$23),IF(AND(G65=0,G66=0,G68=1),$AP$31,$AP$35))</f>
        <v>Результат корректный.
Перенос из старшего разряда не учитывается</v>
      </c>
      <c r="AH65" s="16"/>
      <c r="AI65" s="16"/>
      <c r="AJ65" s="16"/>
      <c r="AK65" s="16"/>
    </row>
    <row r="66" customFormat="false" ht="13.8" hidden="false" customHeight="false" outlineLevel="0" collapsed="false">
      <c r="E66" s="9" t="s">
        <v>46</v>
      </c>
      <c r="F66" s="1" t="s">
        <v>58</v>
      </c>
      <c r="G66" s="1" t="n">
        <f aca="false">G6</f>
        <v>0</v>
      </c>
      <c r="H66" s="1" t="n">
        <f aca="false">H6</f>
        <v>1</v>
      </c>
      <c r="I66" s="1" t="n">
        <f aca="false">I6</f>
        <v>1</v>
      </c>
      <c r="J66" s="1" t="n">
        <f aca="false">J6</f>
        <v>0</v>
      </c>
      <c r="K66" s="1" t="str">
        <f aca="false">K6</f>
        <v>.</v>
      </c>
      <c r="L66" s="1" t="n">
        <f aca="false">L6</f>
        <v>0</v>
      </c>
      <c r="M66" s="1" t="n">
        <f aca="false">M6</f>
        <v>0</v>
      </c>
      <c r="N66" s="1" t="n">
        <f aca="false">N6</f>
        <v>0</v>
      </c>
      <c r="O66" s="1" t="n">
        <f aca="false">O6</f>
        <v>1</v>
      </c>
      <c r="P66" s="1" t="str">
        <f aca="false">P6</f>
        <v>.</v>
      </c>
      <c r="Q66" s="1" t="n">
        <f aca="false">Q6</f>
        <v>0</v>
      </c>
      <c r="R66" s="1" t="n">
        <f aca="false">R6</f>
        <v>1</v>
      </c>
      <c r="S66" s="1" t="n">
        <f aca="false">S6</f>
        <v>1</v>
      </c>
      <c r="T66" s="1" t="n">
        <f aca="false">T6</f>
        <v>1</v>
      </c>
      <c r="U66" s="1" t="str">
        <f aca="false">U6</f>
        <v>.</v>
      </c>
      <c r="V66" s="1" t="n">
        <f aca="false">V6</f>
        <v>1</v>
      </c>
      <c r="W66" s="1" t="n">
        <f aca="false">W6</f>
        <v>0</v>
      </c>
      <c r="X66" s="1" t="n">
        <f aca="false">X6</f>
        <v>0</v>
      </c>
      <c r="Y66" s="1" t="n">
        <f aca="false">Y6</f>
        <v>1</v>
      </c>
      <c r="AC66" s="1" t="s">
        <v>46</v>
      </c>
      <c r="AD66" s="1" t="s">
        <v>59</v>
      </c>
      <c r="AE66" s="1" t="n">
        <f aca="false">C6</f>
        <v>24953</v>
      </c>
      <c r="AG66" s="16"/>
      <c r="AH66" s="16"/>
      <c r="AI66" s="16"/>
      <c r="AJ66" s="16"/>
      <c r="AK66" s="16"/>
    </row>
    <row r="67" customFormat="false" ht="13.8" hidden="false" customHeight="false" outlineLevel="0" collapsed="false">
      <c r="E67" s="9"/>
      <c r="F67" s="1" t="s">
        <v>49</v>
      </c>
      <c r="G67" s="1" t="s">
        <v>49</v>
      </c>
      <c r="H67" s="1" t="s">
        <v>49</v>
      </c>
      <c r="I67" s="1" t="s">
        <v>49</v>
      </c>
      <c r="J67" s="1" t="s">
        <v>49</v>
      </c>
      <c r="K67" s="1" t="s">
        <v>49</v>
      </c>
      <c r="L67" s="1" t="s">
        <v>49</v>
      </c>
      <c r="M67" s="1" t="s">
        <v>49</v>
      </c>
      <c r="N67" s="1" t="s">
        <v>49</v>
      </c>
      <c r="O67" s="1" t="s">
        <v>49</v>
      </c>
      <c r="P67" s="1" t="s">
        <v>49</v>
      </c>
      <c r="Q67" s="1" t="s">
        <v>49</v>
      </c>
      <c r="R67" s="1" t="s">
        <v>49</v>
      </c>
      <c r="S67" s="1" t="s">
        <v>49</v>
      </c>
      <c r="T67" s="1" t="s">
        <v>49</v>
      </c>
      <c r="U67" s="1" t="s">
        <v>49</v>
      </c>
      <c r="V67" s="1" t="s">
        <v>49</v>
      </c>
      <c r="W67" s="1" t="s">
        <v>49</v>
      </c>
      <c r="X67" s="1" t="s">
        <v>49</v>
      </c>
      <c r="Y67" s="1" t="s">
        <v>49</v>
      </c>
      <c r="AD67" s="1" t="s">
        <v>49</v>
      </c>
      <c r="AE67" s="1" t="s">
        <v>49</v>
      </c>
      <c r="AG67" s="16"/>
      <c r="AH67" s="16"/>
      <c r="AI67" s="16"/>
      <c r="AJ67" s="16"/>
      <c r="AK67" s="16"/>
    </row>
    <row r="68" customFormat="false" ht="13.8" hidden="false" customHeight="false" outlineLevel="0" collapsed="false">
      <c r="E68" s="9"/>
      <c r="G68" s="1" t="n">
        <f aca="false">MOD(G65+G66+IF(OR(AND(H65=1,H66=1),AND(H65=1,H66=0,H68=0),AND(H65=0,H66=1,H68=0)),1,0),2)</f>
        <v>0</v>
      </c>
      <c r="H68" s="1" t="n">
        <f aca="false">MOD(H65+H66+IF(OR(AND(I65=1,I66=1),AND(I65=1,I66=0,I68=0),AND(I65=0,I66=1,I68=0)),1,0),2)</f>
        <v>0</v>
      </c>
      <c r="I68" s="1" t="n">
        <f aca="false">MOD(I65+I66+IF(OR(AND(J65=1,J66=1),AND(J65=1,J66=0,J68=0),AND(J65=0,J66=1,J68=0)),1,0),2)</f>
        <v>0</v>
      </c>
      <c r="J68" s="1" t="n">
        <f aca="false">MOD(J65+J66+IF(OR(AND(L65=1,L66=1),AND(L65=1,L66=0,L68=0),AND(L65=0,L66=1,L68=0)),1,0),2)</f>
        <v>0</v>
      </c>
      <c r="K68" s="1" t="s">
        <v>4</v>
      </c>
      <c r="L68" s="1" t="n">
        <f aca="false">MOD(L65+L66+IF(OR(AND(M65=1,M66=1),AND(M65=1,M66=0,M68=0),AND(M65=0,M66=1,M68=0)),1,0),2)</f>
        <v>1</v>
      </c>
      <c r="M68" s="1" t="n">
        <f aca="false">MOD(M65+M66+IF(OR(AND(N65=1,N66=1),AND(N65=1,N66=0,N68=0),AND(N65=0,N66=1,N68=0)),1,0),2)</f>
        <v>1</v>
      </c>
      <c r="N68" s="1" t="n">
        <f aca="false">MOD(N65+N66+IF(OR(AND(O65=1,O66=1),AND(O65=1,O66=0,O68=0),AND(O65=0,O66=1,O68=0)),1,0),2)</f>
        <v>0</v>
      </c>
      <c r="O68" s="1" t="n">
        <f aca="false">MOD(O65+O66+IF(OR(AND(Q65=1,Q66=1),AND(Q65=1,Q66=0,Q68=0),AND(Q65=0,Q66=1,Q68=0)),1,0),2)</f>
        <v>0</v>
      </c>
      <c r="P68" s="1" t="s">
        <v>4</v>
      </c>
      <c r="Q68" s="1" t="n">
        <f aca="false">MOD(Q65+Q66+IF(OR(AND(R65=1,R66=1),AND(R65=1,R66=0,R68=0),AND(R65=0,R66=1,R68=0)),1,0),2)</f>
        <v>0</v>
      </c>
      <c r="R68" s="1" t="n">
        <f aca="false">MOD(R65+R66+IF(OR(AND(S65=1,S66=1),AND(S65=1,S66=0,S68=0),AND(S65=0,S66=1,S68=0)),1,0),2)</f>
        <v>1</v>
      </c>
      <c r="S68" s="1" t="n">
        <f aca="false">MOD(S65+S66+IF(OR(AND(T65=1,T66=1),AND(T65=1,T66=0,T68=0),AND(T65=0,T66=1,T68=0)),1,0),2)</f>
        <v>1</v>
      </c>
      <c r="T68" s="1" t="n">
        <f aca="false">MOD(T65+T66+IF(OR(AND(V65=1,V66=1),AND(V65=1,V66=0,V68=0),AND(V65=0,V66=1,V68=0)),1,0),2)</f>
        <v>0</v>
      </c>
      <c r="U68" s="1" t="s">
        <v>4</v>
      </c>
      <c r="V68" s="1" t="n">
        <f aca="false">MOD(V65+V66+IF(OR(AND(W65=1,W66=1),AND(W65=1,W66=0,W68=0),AND(W65=0,W66=1,W68=0)),1,0),2)</f>
        <v>0</v>
      </c>
      <c r="W68" s="1" t="n">
        <f aca="false">MOD(W65+W66+IF(OR(AND(X65=1,X66=1),AND(X65=1,X66=0,X68=0),AND(X65=0,X66=1,X68=0)),1,0),2)</f>
        <v>1</v>
      </c>
      <c r="X68" s="1" t="n">
        <f aca="false">MOD(X65+X66+IF(OR(AND(Y65=1,Y66=1),AND(Y65=1,Y66=0,Y68=0),AND(Y65=0,Y66=1,Y68=0)),1,0),2)</f>
        <v>1</v>
      </c>
      <c r="Y68" s="1" t="n">
        <f aca="false">MOD(Y65+Y66+IF(OR(AND(Z51=1,Z52=1),AND(Z51=1,Z52=0,Z54=0),AND(Z51=0,Z52=1,Z54=0)),1,0),2)</f>
        <v>0</v>
      </c>
      <c r="Z68" s="1" t="s">
        <v>50</v>
      </c>
      <c r="AA68" s="1" t="n">
        <f aca="false">IF(G68=1,
-(MOD(H68+1,2)*2^14+MOD(I68+1,2)*2^13+MOD(J68+1,2)*2^12+MOD(L68+1,2)*2^11+MOD(M68+1,2)*2^10+MOD(N68+1,2)*2^9+MOD(O68+1,2)*2^8+MOD(Q68+1,2)*2^7+MOD(R68+1,2)*2^6 + MOD(S68+1,2)*2^5+MOD(T68+1,2)*2^4+MOD(V68+1,2)*2^3+MOD(W68+1,2)*2^2+MOD(X68+1,2)*2^1+MOD(Y68+1,2)*2^0 + 1),
(H68*2^14+I68*2^13+J68*2^12+L68*2^11+M68*2^10+N68*2^9+O68*2^8+Q68*2^7+R68*2^6 + S68*2^5+T68*2^4+V68*2^3+W68*2^2+X68*2^1+Y68*2^0))</f>
        <v>3174</v>
      </c>
      <c r="AE68" s="1" t="n">
        <f aca="false">AE65+AE66</f>
        <v>3174</v>
      </c>
      <c r="AG68" s="16"/>
      <c r="AH68" s="16"/>
      <c r="AI68" s="16"/>
      <c r="AJ68" s="16"/>
      <c r="AK68" s="16"/>
    </row>
    <row r="69" customFormat="false" ht="13.8" hidden="false" customHeight="false" outlineLevel="0" collapsed="false">
      <c r="E69" s="9"/>
      <c r="AK69" s="10"/>
    </row>
    <row r="70" customFormat="false" ht="13.8" hidden="false" customHeight="false" outlineLevel="0" collapsed="false">
      <c r="E70" s="12" t="s">
        <v>52</v>
      </c>
      <c r="F70" s="12"/>
      <c r="G70" s="13" t="n">
        <f aca="false">IF(OR(AND(G65=1,G66=0,G68=0),AND(G65=0,G66=1,G68=0),AND(G65=1,G66=1,G68=0)),1,0)</f>
        <v>1</v>
      </c>
      <c r="H70" s="13"/>
      <c r="I70" s="14" t="s">
        <v>53</v>
      </c>
      <c r="J70" s="14"/>
      <c r="K70" s="13" t="n">
        <f aca="false">IF(MOD(SUM(V68:Y68),2)=0,1,0)</f>
        <v>1</v>
      </c>
      <c r="L70" s="13"/>
      <c r="M70" s="14" t="s">
        <v>54</v>
      </c>
      <c r="N70" s="14"/>
      <c r="O70" s="13" t="n">
        <f aca="false">IF(OR(AND(V65=1,V66=0,V68=0),AND(V65=0,V66=1,V68=0),AND(V65=1,V66=1,V68=0)),1,0)</f>
        <v>1</v>
      </c>
      <c r="P70" s="13"/>
      <c r="Q70" s="14" t="s">
        <v>55</v>
      </c>
      <c r="R70" s="14"/>
      <c r="S70" s="13" t="n">
        <f aca="false">IF(SUM(G68:Y68)=0,1,0)</f>
        <v>0</v>
      </c>
      <c r="T70" s="13"/>
      <c r="U70" s="14" t="s">
        <v>56</v>
      </c>
      <c r="V70" s="14"/>
      <c r="W70" s="13" t="n">
        <f aca="false">G68</f>
        <v>0</v>
      </c>
      <c r="X70" s="13"/>
      <c r="Y70" s="14" t="s">
        <v>57</v>
      </c>
      <c r="Z70" s="14"/>
      <c r="AA70" s="13" t="n">
        <f aca="false">IF(OR(AND(G65=0,G66=0,OR(G68=1,S70=1)),AND(G65=1,G66=1,OR(G68=0,S70=1))),1,0)</f>
        <v>0</v>
      </c>
      <c r="AB70" s="13"/>
      <c r="AC70" s="13"/>
      <c r="AD70" s="13"/>
      <c r="AE70" s="13"/>
      <c r="AF70" s="13"/>
      <c r="AG70" s="13"/>
      <c r="AH70" s="13"/>
      <c r="AI70" s="13"/>
      <c r="AJ70" s="13"/>
      <c r="AK70" s="15"/>
    </row>
  </sheetData>
  <mergeCells count="53">
    <mergeCell ref="AG23:AK26"/>
    <mergeCell ref="AP23:AT26"/>
    <mergeCell ref="AP27:AT30"/>
    <mergeCell ref="E28:F28"/>
    <mergeCell ref="I28:J28"/>
    <mergeCell ref="M28:N28"/>
    <mergeCell ref="Q28:R28"/>
    <mergeCell ref="U28:V28"/>
    <mergeCell ref="Y28:Z28"/>
    <mergeCell ref="AG30:AK33"/>
    <mergeCell ref="AP31:AT34"/>
    <mergeCell ref="E35:F35"/>
    <mergeCell ref="I35:J35"/>
    <mergeCell ref="M35:N35"/>
    <mergeCell ref="Q35:R35"/>
    <mergeCell ref="U35:V35"/>
    <mergeCell ref="Y35:Z35"/>
    <mergeCell ref="AP35:AT38"/>
    <mergeCell ref="AG37:AK40"/>
    <mergeCell ref="E42:F42"/>
    <mergeCell ref="I42:J42"/>
    <mergeCell ref="M42:N42"/>
    <mergeCell ref="Q42:R42"/>
    <mergeCell ref="U42:V42"/>
    <mergeCell ref="Y42:Z42"/>
    <mergeCell ref="AG44:AK47"/>
    <mergeCell ref="E49:F49"/>
    <mergeCell ref="I49:J49"/>
    <mergeCell ref="M49:N49"/>
    <mergeCell ref="Q49:R49"/>
    <mergeCell ref="U49:V49"/>
    <mergeCell ref="Y49:Z49"/>
    <mergeCell ref="AG51:AK54"/>
    <mergeCell ref="E56:F56"/>
    <mergeCell ref="I56:J56"/>
    <mergeCell ref="M56:N56"/>
    <mergeCell ref="Q56:R56"/>
    <mergeCell ref="U56:V56"/>
    <mergeCell ref="Y56:Z56"/>
    <mergeCell ref="AG58:AK61"/>
    <mergeCell ref="E63:F63"/>
    <mergeCell ref="I63:J63"/>
    <mergeCell ref="M63:N63"/>
    <mergeCell ref="Q63:R63"/>
    <mergeCell ref="U63:V63"/>
    <mergeCell ref="Y63:Z63"/>
    <mergeCell ref="AG65:AK68"/>
    <mergeCell ref="E70:F70"/>
    <mergeCell ref="I70:J70"/>
    <mergeCell ref="M70:N70"/>
    <mergeCell ref="Q70:R70"/>
    <mergeCell ref="U70:V70"/>
    <mergeCell ref="Y70:Z70"/>
  </mergeCells>
  <conditionalFormatting sqref="G4:Y7">
    <cfRule type="cellIs" priority="2" operator="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0</formula>
    </cfRule>
    <cfRule type="cellIs" priority="4" operator="equal" aboveAverage="0" equalAverage="0" bottom="0" percent="0" rank="0" text="" dxfId="2">
      <formula>"."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459</TotalTime>
  <Application>LibreOffice/7.6.1.2$Windows_X86_64 LibreOffice_project/f5defcebd022c5bc36bbb79be232cb6926d8f674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Артём Корхонен</dc:creator>
  <dc:description/>
  <dc:language>ru-RU</dc:language>
  <cp:lastModifiedBy/>
  <dcterms:modified xsi:type="dcterms:W3CDTF">2024-11-25T14:02:50Z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